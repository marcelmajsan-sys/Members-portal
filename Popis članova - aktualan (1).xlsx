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ditelji" sheetId="1" r:id="rId5"/>
    <sheet state="visible" name="Fizički" sheetId="2" r:id="rId6"/>
    <sheet state="visible" name="Trgovci" sheetId="3" r:id="rId7"/>
  </sheets>
  <definedNames>
    <definedName hidden="1" localSheetId="0" name="_xlnm._FilterDatabase">Nuditelji!$A$1:$AB$104</definedName>
  </definedNames>
  <calcPr/>
</workbook>
</file>

<file path=xl/sharedStrings.xml><?xml version="1.0" encoding="utf-8"?>
<sst xmlns="http://schemas.openxmlformats.org/spreadsheetml/2006/main" count="5164" uniqueCount="3315">
  <si>
    <t>komentar</t>
  </si>
  <si>
    <t>cc</t>
  </si>
  <si>
    <t>Industrija/Segment ponja</t>
  </si>
  <si>
    <t>URL webshopa</t>
  </si>
  <si>
    <t>Vrsta članstva</t>
  </si>
  <si>
    <t>Dana do isteka</t>
  </si>
  <si>
    <t>Istek članstva</t>
  </si>
  <si>
    <r>
      <rPr>
        <rFont val="Calibri"/>
        <b/>
        <color theme="1"/>
        <sz val="11.0"/>
      </rPr>
      <t xml:space="preserve">Prvo učlanjenje </t>
    </r>
    <r>
      <rPr>
        <rFont val="Calibri"/>
        <b/>
        <i/>
        <color theme="1"/>
        <sz val="9.0"/>
      </rPr>
      <t>(datum pristupanja)</t>
    </r>
  </si>
  <si>
    <t>Status članstva</t>
  </si>
  <si>
    <t>Email tvrtke</t>
  </si>
  <si>
    <t>Broj telefona tvrtke</t>
  </si>
  <si>
    <t>OIB tvrtke</t>
  </si>
  <si>
    <t>Adresa tvrtke</t>
  </si>
  <si>
    <t>Ime 1. član</t>
  </si>
  <si>
    <t>Prezime 1. član</t>
  </si>
  <si>
    <t>Email 1. član</t>
  </si>
  <si>
    <t>Mobitel 1. član</t>
  </si>
  <si>
    <t>OIB 1.član</t>
  </si>
  <si>
    <t>Datum rođenja 1. član</t>
  </si>
  <si>
    <t>Ime 2. član</t>
  </si>
  <si>
    <t>Prezime 2. član</t>
  </si>
  <si>
    <t>Email 2. član</t>
  </si>
  <si>
    <t>Mobitel 2. član</t>
  </si>
  <si>
    <t>OIB 2. član</t>
  </si>
  <si>
    <t>Datum rođenja 2. član</t>
  </si>
  <si>
    <t>done</t>
  </si>
  <si>
    <t>Uber d.o.o.</t>
  </si>
  <si>
    <t>www.seekandhit.com</t>
  </si>
  <si>
    <t>Punopravni</t>
  </si>
  <si>
    <t>NEAKTIVNI</t>
  </si>
  <si>
    <t>info@seekandhit.com</t>
  </si>
  <si>
    <t>0916020784</t>
  </si>
  <si>
    <t>88526453580</t>
  </si>
  <si>
    <t>Prhovine 2, 21226 Vinišće</t>
  </si>
  <si>
    <t>Mario</t>
  </si>
  <si>
    <t>Francesevic</t>
  </si>
  <si>
    <t>mario@seekandhit.com</t>
  </si>
  <si>
    <t>11.09.1982.</t>
  </si>
  <si>
    <t>HANGAR96 - branding d.o.o.</t>
  </si>
  <si>
    <t>hangar96.hr</t>
  </si>
  <si>
    <t>renato@hangar96.hr</t>
  </si>
  <si>
    <t>0977935201</t>
  </si>
  <si>
    <t>43322790230</t>
  </si>
  <si>
    <t>Vodnikova 8</t>
  </si>
  <si>
    <t>Renato</t>
  </si>
  <si>
    <t>Ostojić</t>
  </si>
  <si>
    <t>11.09.1992.</t>
  </si>
  <si>
    <t xml:space="preserve">Saša </t>
  </si>
  <si>
    <t>Tenodi</t>
  </si>
  <si>
    <t>sasa@komunikacija.net</t>
  </si>
  <si>
    <t>04.02.1981.</t>
  </si>
  <si>
    <t>Sysbee</t>
  </si>
  <si>
    <t>http://www.sysbee.net/</t>
  </si>
  <si>
    <t>info@sysbee.net</t>
  </si>
  <si>
    <t>385 52 492 060</t>
  </si>
  <si>
    <t xml:space="preserve">44118711367
</t>
  </si>
  <si>
    <t>Marianijeva 11, Pula</t>
  </si>
  <si>
    <t>Zvonimir</t>
  </si>
  <si>
    <t>Gembec</t>
  </si>
  <si>
    <t>zvonimir@sysbee.net</t>
  </si>
  <si>
    <t xml:space="preserve">385 91 1380 870
</t>
  </si>
  <si>
    <t>15.02.1971</t>
  </si>
  <si>
    <t>Dorijana</t>
  </si>
  <si>
    <t>Košta</t>
  </si>
  <si>
    <t>dorijana@sysbee.net</t>
  </si>
  <si>
    <t>385 92 333 6334</t>
  </si>
  <si>
    <t>13.03.1993.</t>
  </si>
  <si>
    <t>Loncom Consulting Ltd</t>
  </si>
  <si>
    <t>https://www.loncomconsulting.com/</t>
  </si>
  <si>
    <t>Premium</t>
  </si>
  <si>
    <t>info@loncomconsulting.com</t>
  </si>
  <si>
    <t>447756775241</t>
  </si>
  <si>
    <t>13572610</t>
  </si>
  <si>
    <t>10 Milton Court, Ravenshead, Nottingham, England, NG15 9BD, United Kingdom</t>
  </si>
  <si>
    <t>Stefan</t>
  </si>
  <si>
    <t>Loncar</t>
  </si>
  <si>
    <t>stefan@loncomconsulting.com</t>
  </si>
  <si>
    <t>DFVU d.o.o.</t>
  </si>
  <si>
    <t>https://dfvu.org/</t>
  </si>
  <si>
    <t>mario@cartfox.io</t>
  </si>
  <si>
    <t>0038670669129</t>
  </si>
  <si>
    <t>SI35983175</t>
  </si>
  <si>
    <t>Liparjeva cesta 6A, 1234 Mengeš</t>
  </si>
  <si>
    <t>Gegić</t>
  </si>
  <si>
    <t>LLOYDS DIGITAL</t>
  </si>
  <si>
    <t>https://lloyds-digital.com/</t>
  </si>
  <si>
    <t>AKTIVNI</t>
  </si>
  <si>
    <t>weare@lloyds-digital.com</t>
  </si>
  <si>
    <t>091 172 1111</t>
  </si>
  <si>
    <t>42238462344</t>
  </si>
  <si>
    <t>Rudarska 1, 52220 Labin</t>
  </si>
  <si>
    <t>Domagoj</t>
  </si>
  <si>
    <t>Ostović</t>
  </si>
  <si>
    <t>domagoj@lloyds-digital.com</t>
  </si>
  <si>
    <t>ne kontaktirati</t>
  </si>
  <si>
    <t>Shipshape d.o.o.</t>
  </si>
  <si>
    <t>https://shipshape-solutions.com/hr/naslovnica</t>
  </si>
  <si>
    <t>49864588217</t>
  </si>
  <si>
    <t>Ernest</t>
  </si>
  <si>
    <t>Antolović</t>
  </si>
  <si>
    <t xml:space="preserve">	
ernest@shipshape.hr</t>
  </si>
  <si>
    <t>095 4515 666</t>
  </si>
  <si>
    <t>Significo d.o.o.</t>
  </si>
  <si>
    <t>www.significo.hr</t>
  </si>
  <si>
    <t>info@significo.hr</t>
  </si>
  <si>
    <t>091 224 2232</t>
  </si>
  <si>
    <t>52435554303</t>
  </si>
  <si>
    <t>Ulica grada Vukovara 269d</t>
  </si>
  <si>
    <t>Miroslav</t>
  </si>
  <si>
    <t>Kabelka</t>
  </si>
  <si>
    <t>miroslav.kabelka@significo.hr</t>
  </si>
  <si>
    <t>Terza Lacrima d.o.o.</t>
  </si>
  <si>
    <t>http://www.collabcart.net/</t>
  </si>
  <si>
    <t>info@collabcart.net</t>
  </si>
  <si>
    <t xml:space="preserve">38598365543
</t>
  </si>
  <si>
    <t xml:space="preserve">67474490980
</t>
  </si>
  <si>
    <t>Ulica grada Vukovara 269g</t>
  </si>
  <si>
    <t>Mršić</t>
  </si>
  <si>
    <t>zvonimir.mrsic@gmail.com</t>
  </si>
  <si>
    <t>09.01.1966.</t>
  </si>
  <si>
    <t>Lovro</t>
  </si>
  <si>
    <t>lovromrisc3@gmail.com</t>
  </si>
  <si>
    <t>17.07.2004.</t>
  </si>
  <si>
    <t>DignetSoftware d.o.o.</t>
  </si>
  <si>
    <t>https://dignet.hr</t>
  </si>
  <si>
    <t>info@dignet.hr</t>
  </si>
  <si>
    <t>385 1 6462 165</t>
  </si>
  <si>
    <t>14948753009</t>
  </si>
  <si>
    <t>Cebini 28, 10000 Zagreb</t>
  </si>
  <si>
    <t>Benić</t>
  </si>
  <si>
    <t>mario.benic@dignet.hr</t>
  </si>
  <si>
    <t>385 91 614 1709</t>
  </si>
  <si>
    <t>Papar d.o.o.</t>
  </si>
  <si>
    <t>https://papar.hr/</t>
  </si>
  <si>
    <t>upiti@papar.hr</t>
  </si>
  <si>
    <t>38513644255</t>
  </si>
  <si>
    <t>47636866925</t>
  </si>
  <si>
    <t>Avenija Dubrovnik 46</t>
  </si>
  <si>
    <t>Vedrana</t>
  </si>
  <si>
    <t>Lončar</t>
  </si>
  <si>
    <t>vedrana.loncar@papar.hr</t>
  </si>
  <si>
    <t>FrodX d.o.o.</t>
  </si>
  <si>
    <t>https://frodx.com/hr/</t>
  </si>
  <si>
    <t>dejan.blatnik@frodx.com</t>
  </si>
  <si>
    <t>0915373624</t>
  </si>
  <si>
    <t>42728884853</t>
  </si>
  <si>
    <t>Trokut XV. 1/B, 10000 Zagreb</t>
  </si>
  <si>
    <t>Dejan</t>
  </si>
  <si>
    <t>Blatnik</t>
  </si>
  <si>
    <t>385 99 343 4956</t>
  </si>
  <si>
    <t>Pitala dinu</t>
  </si>
  <si>
    <t>K. G. Media d.o.o.</t>
  </si>
  <si>
    <t>www.kg-media.hr</t>
  </si>
  <si>
    <t>aikaralazos@kg-media.hr</t>
  </si>
  <si>
    <t>0998153653</t>
  </si>
  <si>
    <t>51873885410</t>
  </si>
  <si>
    <t>Partizanska 4</t>
  </si>
  <si>
    <t>Antonios-Ivan</t>
  </si>
  <si>
    <t>Karalazos</t>
  </si>
  <si>
    <t>Dino rekao da će se javiti za produženje, još nisu</t>
  </si>
  <si>
    <t>Mindsmiths</t>
  </si>
  <si>
    <t>www,mindsmiths.com</t>
  </si>
  <si>
    <t>jan@mindsmiths.com</t>
  </si>
  <si>
    <t>0912270277</t>
  </si>
  <si>
    <t>091383834211</t>
  </si>
  <si>
    <t>Zavrtnica 17</t>
  </si>
  <si>
    <t>Jan</t>
  </si>
  <si>
    <t>Stedul</t>
  </si>
  <si>
    <t>Krik studio d.o.o.</t>
  </si>
  <si>
    <t>www.krikstudio.com</t>
  </si>
  <si>
    <t>info@krikstudio.com</t>
  </si>
  <si>
    <t>016199139</t>
  </si>
  <si>
    <t>57869252643</t>
  </si>
  <si>
    <t>Budmanijeva 5, Zagreb</t>
  </si>
  <si>
    <t>Josip</t>
  </si>
  <si>
    <t>Kraljević</t>
  </si>
  <si>
    <t>josip@krikstudio.com</t>
  </si>
  <si>
    <t>Karlo</t>
  </si>
  <si>
    <t>Bartolec</t>
  </si>
  <si>
    <t>karlo.bartolec@seyfor.hr</t>
  </si>
  <si>
    <t>DHL</t>
  </si>
  <si>
    <t>www.dhl.hr</t>
  </si>
  <si>
    <t>info.hr@dhl.com</t>
  </si>
  <si>
    <t>6651 111</t>
  </si>
  <si>
    <t>79069474349</t>
  </si>
  <si>
    <t>Utinjska 40, 10000 Zagreb</t>
  </si>
  <si>
    <t>Snježana</t>
  </si>
  <si>
    <t>Poljanek</t>
  </si>
  <si>
    <t xml:space="preserve">Snjezana.Poljanek@dhl.com </t>
  </si>
  <si>
    <t xml:space="preserve"> 385 91 2394 136</t>
  </si>
  <si>
    <t>22/4/2025 downgrade u punopravno</t>
  </si>
  <si>
    <t>msg global solutions d.o.o.</t>
  </si>
  <si>
    <t>msg-global.com</t>
  </si>
  <si>
    <t>mirjana.badurina.canak@msg-global.com</t>
  </si>
  <si>
    <t>0996074645</t>
  </si>
  <si>
    <t>15835803092</t>
  </si>
  <si>
    <t>Slavonska avenija 6, 10000 Zagreb</t>
  </si>
  <si>
    <t>Mirjana</t>
  </si>
  <si>
    <t>Badurina Čanak</t>
  </si>
  <si>
    <t>http://inchoo.hr/</t>
  </si>
  <si>
    <t xml:space="preserve">web@inchoo.net </t>
  </si>
  <si>
    <t>031 200 729</t>
  </si>
  <si>
    <t>79343687407</t>
  </si>
  <si>
    <t xml:space="preserve">IT park Osijek 9, 31 000 Osijek </t>
  </si>
  <si>
    <t>Tomislav</t>
  </si>
  <si>
    <t>Bilić</t>
  </si>
  <si>
    <t>tomislav@inchoo.net</t>
  </si>
  <si>
    <t>nikola.drmic@inchoo.net</t>
  </si>
  <si>
    <t>CloudCart AD</t>
  </si>
  <si>
    <t>cloudcart.com</t>
  </si>
  <si>
    <t>n.ivanov@cloudcart.com</t>
  </si>
  <si>
    <t>=+359897777361</t>
  </si>
  <si>
    <t>BG206004146</t>
  </si>
  <si>
    <t>Str. Panorama Sofia 5, Sofia, Bulgaria</t>
  </si>
  <si>
    <t>Nikola</t>
  </si>
  <si>
    <t>Ivanov</t>
  </si>
  <si>
    <t>Arbona d.o.o.</t>
  </si>
  <si>
    <t>www.arbona.hr</t>
  </si>
  <si>
    <t>info@arbona-agency.com</t>
  </si>
  <si>
    <t>0992087404</t>
  </si>
  <si>
    <t>59297630057</t>
  </si>
  <si>
    <t>Horvatova 82, 10000 Zagreb</t>
  </si>
  <si>
    <t>Andrej</t>
  </si>
  <si>
    <t>Tonković</t>
  </si>
  <si>
    <t>andrej.tonkovic@arbona-agency.com</t>
  </si>
  <si>
    <t>Lead Media s.r.o.</t>
  </si>
  <si>
    <t>https://www.dognet.hr/</t>
  </si>
  <si>
    <t>velasevic@dognet.com</t>
  </si>
  <si>
    <t>0993816669</t>
  </si>
  <si>
    <t>SK2024084216</t>
  </si>
  <si>
    <t>Karpatská 6</t>
  </si>
  <si>
    <t>Čedo</t>
  </si>
  <si>
    <t>Velašević</t>
  </si>
  <si>
    <t>385 99 381 6669</t>
  </si>
  <si>
    <t>keks pay</t>
  </si>
  <si>
    <t>Erste&amp;Steiermärkische bank d.d.</t>
  </si>
  <si>
    <t>www.erstebank.hr</t>
  </si>
  <si>
    <t>erstebank@erstebank.hr</t>
  </si>
  <si>
    <t>051365591</t>
  </si>
  <si>
    <t>23057039320</t>
  </si>
  <si>
    <t>Jadranski trg 3a, 51000 Rijeka</t>
  </si>
  <si>
    <t>Boris</t>
  </si>
  <si>
    <t>Blažević</t>
  </si>
  <si>
    <t>bblazevic@erstebank.hr</t>
  </si>
  <si>
    <t>-</t>
  </si>
  <si>
    <t>Wolt Zagreb d.o.o.</t>
  </si>
  <si>
    <t>https://wolt.com/en/hrv</t>
  </si>
  <si>
    <t>marketing.croatia@wolt.com</t>
  </si>
  <si>
    <t>=+385917233570</t>
  </si>
  <si>
    <t>25531986377</t>
  </si>
  <si>
    <t>Kuzminečka ulica 10A, Zagreb</t>
  </si>
  <si>
    <t>Jakov</t>
  </si>
  <si>
    <t>Dadić</t>
  </si>
  <si>
    <t>jakov.dadic@wolt.com</t>
  </si>
  <si>
    <t>Tena</t>
  </si>
  <si>
    <t>tena.velasevic@wolt.com</t>
  </si>
  <si>
    <t>zadnja uplata 19.9.2025.</t>
  </si>
  <si>
    <t>Pick &amp; Pack d.o.o.</t>
  </si>
  <si>
    <t>pickpack.hr</t>
  </si>
  <si>
    <t>matej@pickpack.hr</t>
  </si>
  <si>
    <t>0981980069</t>
  </si>
  <si>
    <t>70227273207</t>
  </si>
  <si>
    <t>Horvaćanska 9</t>
  </si>
  <si>
    <t>Matej</t>
  </si>
  <si>
    <t>Javorek</t>
  </si>
  <si>
    <t>Hero Factory d.o.o.</t>
  </si>
  <si>
    <t>https://herofactory.hr/</t>
  </si>
  <si>
    <t>info@herofactory.hr</t>
  </si>
  <si>
    <t>0911889706</t>
  </si>
  <si>
    <t>20916556060</t>
  </si>
  <si>
    <t>Ilica 71, 10000 Zagreb</t>
  </si>
  <si>
    <t>Dario</t>
  </si>
  <si>
    <t>Begonja</t>
  </si>
  <si>
    <t>dario.b@herofactory.hr</t>
  </si>
  <si>
    <t>17.7.1992.</t>
  </si>
  <si>
    <t>Matko Antun</t>
  </si>
  <si>
    <t>Bekavac</t>
  </si>
  <si>
    <t>matko.ab@herofactory.hr</t>
  </si>
  <si>
    <t>26.2.1991.</t>
  </si>
  <si>
    <t>Overseas Trade Co Ltd. d.o.o.</t>
  </si>
  <si>
    <t>www.overseas.hr</t>
  </si>
  <si>
    <t>marketing@overseas.hr</t>
  </si>
  <si>
    <t>0993737131</t>
  </si>
  <si>
    <t>19407280555</t>
  </si>
  <si>
    <t>Zastavnice 38a</t>
  </si>
  <si>
    <t>Ivana</t>
  </si>
  <si>
    <t>Bene</t>
  </si>
  <si>
    <t>i.bene@overseas.hr</t>
  </si>
  <si>
    <t>Aircash d.o.o.</t>
  </si>
  <si>
    <t>https://aircash.eu</t>
  </si>
  <si>
    <t>info@aircash.eu</t>
  </si>
  <si>
    <t>0996974974</t>
  </si>
  <si>
    <t>99833713101</t>
  </si>
  <si>
    <t>Ulica grada Vukovara 271</t>
  </si>
  <si>
    <t>Nino</t>
  </si>
  <si>
    <t>Budanec</t>
  </si>
  <si>
    <t>nino.budanec@aircash.eu</t>
  </si>
  <si>
    <t>385 977 555 417</t>
  </si>
  <si>
    <t>20.07.1988.</t>
  </si>
  <si>
    <t>Digitalna agencija Marke Thing d.o.o.</t>
  </si>
  <si>
    <t xml:space="preserve">markething.hr </t>
  </si>
  <si>
    <t>info@markething.hr</t>
  </si>
  <si>
    <t>098273896</t>
  </si>
  <si>
    <t>43278642391</t>
  </si>
  <si>
    <t>Banovčeva 23, Pula</t>
  </si>
  <si>
    <t>Miško</t>
  </si>
  <si>
    <t>Macolić Tomičić</t>
  </si>
  <si>
    <t>misko@markething.hr</t>
  </si>
  <si>
    <t>07.08.1989</t>
  </si>
  <si>
    <t>INFOBIP</t>
  </si>
  <si>
    <t>https://www.infobip.com/</t>
  </si>
  <si>
    <t>adriatics@infobip.com</t>
  </si>
  <si>
    <t xml:space="preserve">0992572429
</t>
  </si>
  <si>
    <t xml:space="preserve">29756659895
</t>
  </si>
  <si>
    <t xml:space="preserve">Istarska ul. 157, 52215, Vodnjan, Hrvatska
</t>
  </si>
  <si>
    <t>Ivica</t>
  </si>
  <si>
    <t>Prlić</t>
  </si>
  <si>
    <t>ivica.prlic@infobip.com</t>
  </si>
  <si>
    <t>21.8.1981</t>
  </si>
  <si>
    <t>Ida</t>
  </si>
  <si>
    <t>Kovač</t>
  </si>
  <si>
    <t>ida.kovac@infobip.com</t>
  </si>
  <si>
    <t>21.6.1987</t>
  </si>
  <si>
    <t>Mail Boxes Etc.</t>
  </si>
  <si>
    <r>
      <rPr>
        <color rgb="FF1155CC"/>
        <u/>
      </rPr>
      <t>https://www.mbe.hr/</t>
    </r>
    <r>
      <rPr/>
      <t>, https://fulfillment.mbe.hr/</t>
    </r>
  </si>
  <si>
    <t>mbe@mbe.hr</t>
  </si>
  <si>
    <t>0914210052</t>
  </si>
  <si>
    <t>64386903048</t>
  </si>
  <si>
    <t>Puževa 11</t>
  </si>
  <si>
    <t>Martic</t>
  </si>
  <si>
    <t>jmartic@insako.hr</t>
  </si>
  <si>
    <t>HP-Hrvatska pošta d.d.</t>
  </si>
  <si>
    <t xml:space="preserve">
https://www.posta.hr/</t>
  </si>
  <si>
    <t>info@zutiklik.hr</t>
  </si>
  <si>
    <t>00385 1 303 8320</t>
  </si>
  <si>
    <t>87311810356</t>
  </si>
  <si>
    <t>Jurišićeva 13, 10 000 Zagreb</t>
  </si>
  <si>
    <t>Futivić</t>
  </si>
  <si>
    <t>ivana.futivic@posta.hr
Ivana.szivko@posta.hr</t>
  </si>
  <si>
    <t>385 (99) 3799927</t>
  </si>
  <si>
    <t>Ivan</t>
  </si>
  <si>
    <t>Gembeš</t>
  </si>
  <si>
    <t xml:space="preserve">ivan.gembes@posta.hr </t>
  </si>
  <si>
    <t>Neuralab</t>
  </si>
  <si>
    <t>https://www.neuralab.net/</t>
  </si>
  <si>
    <t>zagreb@neuralab.net</t>
  </si>
  <si>
    <t>098 1717 628</t>
  </si>
  <si>
    <t>63401934653</t>
  </si>
  <si>
    <t>Fojnička 6</t>
  </si>
  <si>
    <t>Krešimir</t>
  </si>
  <si>
    <t>Končić</t>
  </si>
  <si>
    <t>koncic@neuralab.net</t>
  </si>
  <si>
    <t>8.10.1981</t>
  </si>
  <si>
    <t>Bruno</t>
  </si>
  <si>
    <t>Zagorščak</t>
  </si>
  <si>
    <t>bruno@neuralab.net</t>
  </si>
  <si>
    <t>098 933 1757</t>
  </si>
  <si>
    <t>19.11.1981</t>
  </si>
  <si>
    <t>Marker d.o.o.</t>
  </si>
  <si>
    <t>https://marker.hr/</t>
  </si>
  <si>
    <t>info@marker.hr</t>
  </si>
  <si>
    <t>385 42 421 700</t>
  </si>
  <si>
    <t>43509185735</t>
  </si>
  <si>
    <t xml:space="preserve">Ulica braće Radić 63, 42000 Varaždin
</t>
  </si>
  <si>
    <t>Kruhek</t>
  </si>
  <si>
    <t>ivica@marker.hr</t>
  </si>
  <si>
    <t>zvao httpool da im je frka i da ove godine ne mogu produžiti članarinu no voljeli bi sljedeće godine opet se uključiti pa stavi napomenu u tablicu (i deaktiviraj im profil na webu, prebaci ga u skice)</t>
  </si>
  <si>
    <t>Noovo Internet d.o.o.</t>
  </si>
  <si>
    <t>www.httpool.com</t>
  </si>
  <si>
    <t>meta@httpool.hr</t>
  </si>
  <si>
    <t>0916165607</t>
  </si>
  <si>
    <t>62790516285</t>
  </si>
  <si>
    <t>Draškovićeva 29, 10000 Zagreb</t>
  </si>
  <si>
    <t>Luka</t>
  </si>
  <si>
    <t>Jotić</t>
  </si>
  <si>
    <t>luka.jotic@httpool.hr</t>
  </si>
  <si>
    <t>Marko</t>
  </si>
  <si>
    <t>Mikeš</t>
  </si>
  <si>
    <t>marko.mikes@httpool.hr</t>
  </si>
  <si>
    <t>091-603-7985</t>
  </si>
  <si>
    <t>može kontakt</t>
  </si>
  <si>
    <t>MODEPACK D.O.O.</t>
  </si>
  <si>
    <t>https://modepack.com/</t>
  </si>
  <si>
    <t>info@modepack.com</t>
  </si>
  <si>
    <t>385 1 6262 232</t>
  </si>
  <si>
    <t>84906637874</t>
  </si>
  <si>
    <t>Velika cesta 33, Zagreb</t>
  </si>
  <si>
    <t>Jure</t>
  </si>
  <si>
    <t>Širić</t>
  </si>
  <si>
    <t>jure.siric@modepack.com</t>
  </si>
  <si>
    <t>385 99 4900 043</t>
  </si>
  <si>
    <t>?</t>
  </si>
  <si>
    <t>Ciklopea d.o.o.</t>
  </si>
  <si>
    <t>ciklopea.com</t>
  </si>
  <si>
    <t>sales@ciklopea.com</t>
  </si>
  <si>
    <t>0994477440</t>
  </si>
  <si>
    <t>49842955502</t>
  </si>
  <si>
    <t>Međimurska 21</t>
  </si>
  <si>
    <t>Marina</t>
  </si>
  <si>
    <t>Roček</t>
  </si>
  <si>
    <t>marina.rocek@ciklopea.com</t>
  </si>
  <si>
    <t>Favi sro</t>
  </si>
  <si>
    <t>https://favi.hr/</t>
  </si>
  <si>
    <t>suradnja@favi.hr</t>
  </si>
  <si>
    <t>=+38517757567</t>
  </si>
  <si>
    <t>04857402</t>
  </si>
  <si>
    <t>Vodičkova 710/31, Praha 1</t>
  </si>
  <si>
    <t>Marija</t>
  </si>
  <si>
    <t>Vujović</t>
  </si>
  <si>
    <t>marija.vujovic@favi.hr</t>
  </si>
  <si>
    <t>DPD Croatia d.o.o.</t>
  </si>
  <si>
    <t>www.dpd.com/hr</t>
  </si>
  <si>
    <t>info@dpd.hr</t>
  </si>
  <si>
    <t>01 3430 600</t>
  </si>
  <si>
    <t>Stanić</t>
  </si>
  <si>
    <t>snjezana.stanic@dpd.hr</t>
  </si>
  <si>
    <t>01 3430 640</t>
  </si>
  <si>
    <t>14.1.1986.</t>
  </si>
  <si>
    <t>Beljo</t>
  </si>
  <si>
    <t xml:space="preserve">marko.beljo@dpd.hr </t>
  </si>
  <si>
    <t>Interzero d.o.o.</t>
  </si>
  <si>
    <t>www.interzero.hr</t>
  </si>
  <si>
    <t>info@interzero.hr</t>
  </si>
  <si>
    <t>79861389365</t>
  </si>
  <si>
    <t>Ulica kneza Branimira 22</t>
  </si>
  <si>
    <t>Vanja</t>
  </si>
  <si>
    <t>Horvat</t>
  </si>
  <si>
    <t>vanja.horvat@interzero.hr</t>
  </si>
  <si>
    <t>BOX  NOW d.o.o.</t>
  </si>
  <si>
    <t>https://boxnow.hr/</t>
  </si>
  <si>
    <t>reception@boxnow.hr</t>
  </si>
  <si>
    <t>01 7000 300</t>
  </si>
  <si>
    <t>02844526916</t>
  </si>
  <si>
    <t>Krčka 18D, Zagreb</t>
  </si>
  <si>
    <t>Mareš</t>
  </si>
  <si>
    <t>Miroslav.Mares@boxnow.hr</t>
  </si>
  <si>
    <t>KLIKERI d.o.o.</t>
  </si>
  <si>
    <t>https://www.klikeri.hr/</t>
  </si>
  <si>
    <t>klikeri@klikeri.hr</t>
  </si>
  <si>
    <t>Duboka 14</t>
  </si>
  <si>
    <t>Zović</t>
  </si>
  <si>
    <t>Play Digital</t>
  </si>
  <si>
    <t>playdigital.hr/hr</t>
  </si>
  <si>
    <t>info@playdigital.hr</t>
  </si>
  <si>
    <t>Zagrebačka 6a, Pazin</t>
  </si>
  <si>
    <t>Čubrić</t>
  </si>
  <si>
    <t>tomcub@playdigital.hr</t>
  </si>
  <si>
    <t>Danijel</t>
  </si>
  <si>
    <t>Marić</t>
  </si>
  <si>
    <t>danijel@playdigital.hr</t>
  </si>
  <si>
    <t>Ubaciti i branka.vasiljevic@seyfor.hr na obavijesti</t>
  </si>
  <si>
    <t xml:space="preserve">Seyfor d.o.o. </t>
  </si>
  <si>
    <t>https://www.seyfor.com/</t>
  </si>
  <si>
    <t xml:space="preserve">info@seyfor.hr  </t>
  </si>
  <si>
    <t>01 5559 773</t>
  </si>
  <si>
    <t>42584526821</t>
  </si>
  <si>
    <t>Puževa 13, 10020 Zagreb</t>
  </si>
  <si>
    <t>Jelena</t>
  </si>
  <si>
    <t>Kukret</t>
  </si>
  <si>
    <t>jelena.kukret@seyfor.hr</t>
  </si>
  <si>
    <t>099 495 55 04</t>
  </si>
  <si>
    <t>30.03.1993.</t>
  </si>
  <si>
    <t>Tamara</t>
  </si>
  <si>
    <t>Marjanović</t>
  </si>
  <si>
    <t>Tamara.Marjanovic@seyfor.hr</t>
  </si>
  <si>
    <t>099 495 55 07</t>
  </si>
  <si>
    <t>30.05.1990</t>
  </si>
  <si>
    <t>Video Media</t>
  </si>
  <si>
    <t>HAIKU</t>
  </si>
  <si>
    <t>https://haiku-communications.com/</t>
  </si>
  <si>
    <t>karla@haiku-communications.com</t>
  </si>
  <si>
    <t>Ilica 71</t>
  </si>
  <si>
    <t>Karla</t>
  </si>
  <si>
    <t>Andrić</t>
  </si>
  <si>
    <t>Ingemark d.o.o.</t>
  </si>
  <si>
    <t>https://www.ingemark.com/</t>
  </si>
  <si>
    <t xml:space="preserve">hello@ingemark.com
</t>
  </si>
  <si>
    <t xml:space="preserve">385 91 4549501
</t>
  </si>
  <si>
    <t xml:space="preserve">02854892746
</t>
  </si>
  <si>
    <t xml:space="preserve">Palinovečka 29
</t>
  </si>
  <si>
    <t>Morana
Tomislav</t>
  </si>
  <si>
    <t>Stričić Petrović
Kosanović</t>
  </si>
  <si>
    <t>morana.stricic.petrovic@ingemark.com
tomislav.kosanovic@ingemark.com</t>
  </si>
  <si>
    <t>385 91 6120 785</t>
  </si>
  <si>
    <t>5.3.1987.</t>
  </si>
  <si>
    <t>Ozren</t>
  </si>
  <si>
    <t>Bjelogrlić</t>
  </si>
  <si>
    <t>ozren.bjelogrlic@ingemark.com</t>
  </si>
  <si>
    <t>14.10.1987.</t>
  </si>
  <si>
    <t>General Logistics Systems Croatia</t>
  </si>
  <si>
    <t>https://gls-group.com/HR/hr/home/</t>
  </si>
  <si>
    <t>Stupničke Šipkovine 22, Donji Stupnik</t>
  </si>
  <si>
    <t>Zdovc</t>
  </si>
  <si>
    <t>Marija.Zdovc@gls-croatia.com</t>
  </si>
  <si>
    <t>Monri</t>
  </si>
  <si>
    <t>https://monri.hr/</t>
  </si>
  <si>
    <t>Ulica grada Vukovara 269F, Zagreb,</t>
  </si>
  <si>
    <t xml:space="preserve">Ana
Ivana </t>
  </si>
  <si>
    <t>Vuksanović
Kurtović Skorić</t>
  </si>
  <si>
    <t>ana.vuksanovic@monri.com
Ivana.Kurtovic.Skoric@asee.io</t>
  </si>
  <si>
    <t>ECR (blagajnički softver) teme
marketing u Monriju</t>
  </si>
  <si>
    <t>Bosiljka</t>
  </si>
  <si>
    <t>Ćosić</t>
  </si>
  <si>
    <t>Bosiljka.Cosic@asseco-see.hr</t>
  </si>
  <si>
    <t>385 99 21 90 701</t>
  </si>
  <si>
    <t>Considero d.o.o.</t>
  </si>
  <si>
    <t>www.avantis.hr</t>
  </si>
  <si>
    <t>studio@considero.hr</t>
  </si>
  <si>
    <t>Pavla Radića 5</t>
  </si>
  <si>
    <t>Hrvoje</t>
  </si>
  <si>
    <t>Komljenović</t>
  </si>
  <si>
    <t>hrvoje@considero.net</t>
  </si>
  <si>
    <t>Žarko</t>
  </si>
  <si>
    <t>zarko@considero.net</t>
  </si>
  <si>
    <t>Nivago d.o.o.</t>
  </si>
  <si>
    <t>https://www.nivago.hr/</t>
  </si>
  <si>
    <t>info@nivago.hr</t>
  </si>
  <si>
    <t>Braće Cetina 5a, 51000 Rijeka</t>
  </si>
  <si>
    <t>Glavan</t>
  </si>
  <si>
    <t>bruno@nivago.hr</t>
  </si>
  <si>
    <t>Kabi d.o.o.</t>
  </si>
  <si>
    <t>https://www.kabi.info</t>
  </si>
  <si>
    <t>info@kabi.si</t>
  </si>
  <si>
    <t>386 1 280 50 80</t>
  </si>
  <si>
    <t>Dolenjska cesta 43, Ljubljana</t>
  </si>
  <si>
    <t>Grega</t>
  </si>
  <si>
    <t>Todorović</t>
  </si>
  <si>
    <t>grega@kabi.info</t>
  </si>
  <si>
    <t>Euroart 93 d.o.o</t>
  </si>
  <si>
    <t>euroart93.hr</t>
  </si>
  <si>
    <t>info@euroart93.hr</t>
  </si>
  <si>
    <t>Rimska 31, 44000 Sisak</t>
  </si>
  <si>
    <t>Nekić</t>
  </si>
  <si>
    <t>kresimir@euroart93.hr</t>
  </si>
  <si>
    <t>partneri</t>
  </si>
  <si>
    <t>Plus Hosting Grupa d.o.o.</t>
  </si>
  <si>
    <t>https://plus.hr/</t>
  </si>
  <si>
    <t>support@plus.hr</t>
  </si>
  <si>
    <t>052 492 052</t>
  </si>
  <si>
    <t>Dalmatinova ul. 4, 52100, Pula</t>
  </si>
  <si>
    <t>Veljko</t>
  </si>
  <si>
    <t>Drakulić</t>
  </si>
  <si>
    <t>veljko@plus.hr</t>
  </si>
  <si>
    <t>Davor</t>
  </si>
  <si>
    <t>Rapić</t>
  </si>
  <si>
    <t>davor.r@plus.hr</t>
  </si>
  <si>
    <t>Archibrix d.o.o.</t>
  </si>
  <si>
    <t>https://archibrix.com/</t>
  </si>
  <si>
    <t>office@archibrix.com</t>
  </si>
  <si>
    <t>Vukomerec 67</t>
  </si>
  <si>
    <t>Dejana</t>
  </si>
  <si>
    <t>Bagarić</t>
  </si>
  <si>
    <t>dejana@bagaric.net</t>
  </si>
  <si>
    <t>08.01.1982</t>
  </si>
  <si>
    <t>Zajednički odvjetnički ured Dejan Dukić i Denis Mišić</t>
  </si>
  <si>
    <t>denis.misic@gmail.com</t>
  </si>
  <si>
    <t>Trnjanska cesta 114</t>
  </si>
  <si>
    <t xml:space="preserve">Denis </t>
  </si>
  <si>
    <t>Mišić</t>
  </si>
  <si>
    <t>VIVnetworks - affiliate mreža</t>
  </si>
  <si>
    <t>https://www.vivnetworks.com/hr/</t>
  </si>
  <si>
    <t>marina.kostkova@vivnetworks.com</t>
  </si>
  <si>
    <t>Jungmannovo nám. 18, 110 00 Praha 1</t>
  </si>
  <si>
    <t>Asendia Austria GmbH</t>
  </si>
  <si>
    <t>www.asendia.at</t>
  </si>
  <si>
    <t>info.at@asendia.com</t>
  </si>
  <si>
    <t xml:space="preserve">43 2236 73608-13 </t>
  </si>
  <si>
    <t>ATU 19075202</t>
  </si>
  <si>
    <t>Josef Ressel Strasse 8, 2362 Biedermannsdorf</t>
  </si>
  <si>
    <t>Damir</t>
  </si>
  <si>
    <t>Keric</t>
  </si>
  <si>
    <t>damir.keric@asendia.com</t>
  </si>
  <si>
    <t>43676 84 182 182</t>
  </si>
  <si>
    <t>LEGAS Agency d.o.o.</t>
  </si>
  <si>
    <t>https://legasagency.com/</t>
  </si>
  <si>
    <t>info@legasagency.com</t>
  </si>
  <si>
    <t>Istarska 18, 40000 Čakovec</t>
  </si>
  <si>
    <t>Manuel</t>
  </si>
  <si>
    <t>Hutinec</t>
  </si>
  <si>
    <t>Anima Media (MegaKuponi)</t>
  </si>
  <si>
    <t>www.megakuponi.hr</t>
  </si>
  <si>
    <t>contact@megakuponi.hr</t>
  </si>
  <si>
    <t>NL004966506B89</t>
  </si>
  <si>
    <t>Muntkade 112, 3531AK Utrecht</t>
  </si>
  <si>
    <t>Ana</t>
  </si>
  <si>
    <t>Krce-Ivančić</t>
  </si>
  <si>
    <t>ana@megakuponi.hr</t>
  </si>
  <si>
    <t>Qonverto d.o.o.</t>
  </si>
  <si>
    <t>www.qonverto.com</t>
  </si>
  <si>
    <t>bojan@qonverto.com</t>
  </si>
  <si>
    <t>SI16623371</t>
  </si>
  <si>
    <t>KEBETOVA 10AMilčinskega 47</t>
  </si>
  <si>
    <t>Bojan</t>
  </si>
  <si>
    <t>Šturm</t>
  </si>
  <si>
    <t>SI1623371</t>
  </si>
  <si>
    <t>DECTA SIA</t>
  </si>
  <si>
    <t>decta.com</t>
  </si>
  <si>
    <t>arpad.neveri@decta.com</t>
  </si>
  <si>
    <t>LV50103962441</t>
  </si>
  <si>
    <t>Roberta Hirša iela 1 Riga, Latvia</t>
  </si>
  <si>
    <t>Arpad</t>
  </si>
  <si>
    <t>Neveri</t>
  </si>
  <si>
    <t>WEB Marketing d.o.o.</t>
  </si>
  <si>
    <t>www.webmarketing.hr</t>
  </si>
  <si>
    <t>info@wem.hr</t>
  </si>
  <si>
    <t>Medarska 56b, 10090 Zagreb</t>
  </si>
  <si>
    <t>hrvoje@wem.hr</t>
  </si>
  <si>
    <t>FIRA Solutions d.o.o.</t>
  </si>
  <si>
    <t>https://fira.finance</t>
  </si>
  <si>
    <t>info@fira.finance</t>
  </si>
  <si>
    <t>Trg Josipa Jurja Strossmayera 8, 10000 Zagreb</t>
  </si>
  <si>
    <t>Jurjević</t>
  </si>
  <si>
    <t>marko.jurjevic@fira.finance</t>
  </si>
  <si>
    <t>Parhelion d.o.o.</t>
  </si>
  <si>
    <t>parhelion.hr</t>
  </si>
  <si>
    <t>ured@parhelion.hr</t>
  </si>
  <si>
    <t>Lipa 4, 10434         
Sveta Nedelja</t>
  </si>
  <si>
    <t>Bibor-Szilard</t>
  </si>
  <si>
    <t>Kiraly</t>
  </si>
  <si>
    <t xml:space="preserve">bibor@me.com
</t>
  </si>
  <si>
    <t>VTEX</t>
  </si>
  <si>
    <t>https://vtex.com</t>
  </si>
  <si>
    <t>kiril.dinov@vtex.com</t>
  </si>
  <si>
    <t>GB278404189</t>
  </si>
  <si>
    <t>100 Avebury Boulevard, Milton Keynes, MK9 1FH London</t>
  </si>
  <si>
    <t>Kiril</t>
  </si>
  <si>
    <t>Dinov</t>
  </si>
  <si>
    <t>Things Solver</t>
  </si>
  <si>
    <t>https://thingsolver.com</t>
  </si>
  <si>
    <t>office@thingsolver.com</t>
  </si>
  <si>
    <t>Milutina Milankovića 19G, 11070 Beograd</t>
  </si>
  <si>
    <t xml:space="preserve">Katarina </t>
  </si>
  <si>
    <t>Tančić</t>
  </si>
  <si>
    <t>katarina.tancic@thingsolver.com
andjela.culibrk@thingsolver.com</t>
  </si>
  <si>
    <t>Predrag</t>
  </si>
  <si>
    <t>Topić</t>
  </si>
  <si>
    <t>pedja@thingsolver.com</t>
  </si>
  <si>
    <t>Escape d.o.o.</t>
  </si>
  <si>
    <t>https://escapestudio.hr</t>
  </si>
  <si>
    <t>kontakt@escapestudio.hr</t>
  </si>
  <si>
    <t>Krapinsko naselje 18, 31000 Osijek</t>
  </si>
  <si>
    <t>Zorin</t>
  </si>
  <si>
    <t>Radovancevic</t>
  </si>
  <si>
    <t>zorin@escapestudio.hr</t>
  </si>
  <si>
    <t>Virtualna Tvornica</t>
  </si>
  <si>
    <t xml:space="preserve"> https://www.virtualna-tvornica.com/ </t>
  </si>
  <si>
    <t>info@virtualna-tvornica.com</t>
  </si>
  <si>
    <t>385 91 6095 332</t>
  </si>
  <si>
    <r>
      <rPr>
        <rFont val="Arial"/>
        <color rgb="FF000000"/>
      </rPr>
      <t>Zvonigradska 43b</t>
    </r>
  </si>
  <si>
    <t>Katarina</t>
  </si>
  <si>
    <t>Cvijanović</t>
  </si>
  <si>
    <t>cvijanovic@virtualna-tvornica.com</t>
  </si>
  <si>
    <t>Corvus Pay d.o.o.</t>
  </si>
  <si>
    <t>https://www.corvuspay.com/</t>
  </si>
  <si>
    <t>info@corvuspay.com</t>
  </si>
  <si>
    <t>385 1 6389 441</t>
  </si>
  <si>
    <t>Buzinski prilaz 10, 10010 Zagreb</t>
  </si>
  <si>
    <t xml:space="preserve">Maja </t>
  </si>
  <si>
    <t>Bajza Ljubičić</t>
  </si>
  <si>
    <t>maja.bajza@corvuspay.com</t>
  </si>
  <si>
    <t>Agilna tvrtka d.o.o.</t>
  </si>
  <si>
    <t>www.agilo.com</t>
  </si>
  <si>
    <t>info@agilo.com</t>
  </si>
  <si>
    <t>Dobrilina 7, 21000 Split</t>
  </si>
  <si>
    <t>Toni</t>
  </si>
  <si>
    <t>Trivkovic</t>
  </si>
  <si>
    <t xml:space="preserve">toni@agilo.com </t>
  </si>
  <si>
    <t>Cartum</t>
  </si>
  <si>
    <t>https://cartum.io/hr/</t>
  </si>
  <si>
    <t>info@cartum.io</t>
  </si>
  <si>
    <t>40 312 297 472</t>
  </si>
  <si>
    <t>Lomonosova Street, Building 56, 03189 Kyiv</t>
  </si>
  <si>
    <t>Andrii</t>
  </si>
  <si>
    <t>Bruhal</t>
  </si>
  <si>
    <t>andrii.bruhal@cartum.io</t>
  </si>
  <si>
    <t>Diana</t>
  </si>
  <si>
    <t>Saiko</t>
  </si>
  <si>
    <t>diana.saiko@cartum.io</t>
  </si>
  <si>
    <t>Inspigroup s.r.o.</t>
  </si>
  <si>
    <t>https://www.glami.hr/</t>
  </si>
  <si>
    <t>hr.support@glami.cz</t>
  </si>
  <si>
    <t>385 1 3000 616</t>
  </si>
  <si>
    <t>Újezd 450/40, 118 00 Praha 1 - Malá Strana</t>
  </si>
  <si>
    <t>Filip</t>
  </si>
  <si>
    <t>Čretnik</t>
  </si>
  <si>
    <t>filip.cretnik@gmali.cz</t>
  </si>
  <si>
    <t>Encore media d.o.o.</t>
  </si>
  <si>
    <t>www.encoremedia.hr</t>
  </si>
  <si>
    <t>info@encoremedia.hr</t>
  </si>
  <si>
    <t>097 777 2997</t>
  </si>
  <si>
    <t>Radnička cesta 80, 10000 Zagreb</t>
  </si>
  <si>
    <t>Bjelokapić</t>
  </si>
  <si>
    <t>davor@encoremedia.hr</t>
  </si>
  <si>
    <t>X express brza pošta</t>
  </si>
  <si>
    <t>www.x-express.ba</t>
  </si>
  <si>
    <t>info@x-express.ba</t>
  </si>
  <si>
    <t>387 51 492 707</t>
  </si>
  <si>
    <t>Branka Perduva 10a, 78000 Banja Luka</t>
  </si>
  <si>
    <t>Ivona</t>
  </si>
  <si>
    <t>Zucchiatti</t>
  </si>
  <si>
    <t>ivonazucchiatti@x-express.ba</t>
  </si>
  <si>
    <t>387/65904841</t>
  </si>
  <si>
    <t>NoCapp by CoreLine</t>
  </si>
  <si>
    <t>https://nocapp.coreline.agency/hr/home/</t>
  </si>
  <si>
    <t>nocapp@coreline.agency</t>
  </si>
  <si>
    <t>merch</t>
  </si>
  <si>
    <t>Florijana Andrašeca 18a, 10000 Zagreb</t>
  </si>
  <si>
    <t>Dino</t>
  </si>
  <si>
    <t>Schatzl</t>
  </si>
  <si>
    <t>dino.schatzl@coreline.agency</t>
  </si>
  <si>
    <t>Netgen d.o.o.</t>
  </si>
  <si>
    <t>https://netgen.io</t>
  </si>
  <si>
    <t>info@netgen.io</t>
  </si>
  <si>
    <t>385 1 387 97 22</t>
  </si>
  <si>
    <t>Savska 182, 10000 Zagreb</t>
  </si>
  <si>
    <t>Ivo</t>
  </si>
  <si>
    <t>Lukač</t>
  </si>
  <si>
    <t>ivo@netgen.io</t>
  </si>
  <si>
    <t>New Look Entertainment</t>
  </si>
  <si>
    <t>www.sales-snap.com</t>
  </si>
  <si>
    <t>office@m1.rs</t>
  </si>
  <si>
    <t>Knicaninova 14, 11000 Beograd</t>
  </si>
  <si>
    <t>Kosutic</t>
  </si>
  <si>
    <t>ivan.kosutic@m1.rs</t>
  </si>
  <si>
    <t>Lead Closers d.o.o.</t>
  </si>
  <si>
    <t>Imamo aplikaciju Momtivation</t>
  </si>
  <si>
    <t>ivatolic@gmail.com</t>
  </si>
  <si>
    <t>Gradiška 21, 10000 Zagreb</t>
  </si>
  <si>
    <t>Tolić</t>
  </si>
  <si>
    <t xml:space="preserve">Vladimir </t>
  </si>
  <si>
    <t>Večerić</t>
  </si>
  <si>
    <t>vladimir@leadclosers.eu</t>
  </si>
  <si>
    <t>Rhea d.o.o.</t>
  </si>
  <si>
    <t>www.rhea.hr</t>
  </si>
  <si>
    <t>prodaja@rhea.hr</t>
  </si>
  <si>
    <t>Buzinski prilaz 36a, 10000 Zagreb</t>
  </si>
  <si>
    <t xml:space="preserve">Marija </t>
  </si>
  <si>
    <t xml:space="preserve">Kovač </t>
  </si>
  <si>
    <t>kovacmarija04@gmail.com</t>
  </si>
  <si>
    <t>u sklopu članstva imali intervju u magazinu no 7</t>
  </si>
  <si>
    <t>MetaKocka, napredne spletne aplikacije, d.o.o.</t>
  </si>
  <si>
    <t>https://ordermanagement.biz/</t>
  </si>
  <si>
    <t>info@metakocka.si</t>
  </si>
  <si>
    <t>Tehnološki part 24, 1000 Ljubljana</t>
  </si>
  <si>
    <t>Neža</t>
  </si>
  <si>
    <t>Hribar</t>
  </si>
  <si>
    <t>neza.hribar@metakocka.si</t>
  </si>
  <si>
    <t>CONSENT, obrt za usluge, vl. Duje Kozomara</t>
  </si>
  <si>
    <t>https://regula.consent.hr/</t>
  </si>
  <si>
    <t>regula@consent.hr</t>
  </si>
  <si>
    <t>Ulica Slobode 46, 21000 Split</t>
  </si>
  <si>
    <t>Duje</t>
  </si>
  <si>
    <t>Kozomara</t>
  </si>
  <si>
    <t>duje@consent.hr</t>
  </si>
  <si>
    <t>Superius d.o.o.</t>
  </si>
  <si>
    <t>https://superius.co/</t>
  </si>
  <si>
    <t>info@superius.hr</t>
  </si>
  <si>
    <t>052 383 606</t>
  </si>
  <si>
    <t>Ćirilometodske družbe 1, 52100 Pula</t>
  </si>
  <si>
    <t>Rovis</t>
  </si>
  <si>
    <t>luka.rovis@superius.hr</t>
  </si>
  <si>
    <t>095 380 5611</t>
  </si>
  <si>
    <t>Oko Sokolovo</t>
  </si>
  <si>
    <t>okosokolovo.hr</t>
  </si>
  <si>
    <t>info@okosokolovo.hr</t>
  </si>
  <si>
    <t>Hrvatskih branitelja 5, 35212 Slavonski Brod</t>
  </si>
  <si>
    <t>Sokolović</t>
  </si>
  <si>
    <t>sokolprimas@gmail.com</t>
  </si>
  <si>
    <t>ODVJETNIK ANAMARIJA JENGIĆ BUJAN</t>
  </si>
  <si>
    <t>trenutno u izradi/trebam suradnika za dovršiti stranicu</t>
  </si>
  <si>
    <t>anamarija@lawoffice-ajb.com</t>
  </si>
  <si>
    <t>TRPMIRIOVA 4, 51000 RIJEKA</t>
  </si>
  <si>
    <t>ANAMARIJA</t>
  </si>
  <si>
    <t>JENGIĆ BUJAN</t>
  </si>
  <si>
    <t>odvjetnik.jengic.bujan@gmail.com</t>
  </si>
  <si>
    <t>099 214 30 69</t>
  </si>
  <si>
    <t>Worldline?</t>
  </si>
  <si>
    <t>Bind Technologies d.o.o</t>
  </si>
  <si>
    <t>https://bind.hr</t>
  </si>
  <si>
    <t>info@bind.hr</t>
  </si>
  <si>
    <t>Jurja Zakna 4A, 52100 Pula</t>
  </si>
  <si>
    <t>Goran</t>
  </si>
  <si>
    <t>Udosic</t>
  </si>
  <si>
    <t>goran.udosic@bind.hr</t>
  </si>
  <si>
    <t>Blank development d.o.o.</t>
  </si>
  <si>
    <t>https://totebot.ai</t>
  </si>
  <si>
    <t>info@totebot.ai</t>
  </si>
  <si>
    <t>Zrinsko-frankopanska 64, 21000 Split</t>
  </si>
  <si>
    <t xml:space="preserve">Nebojša </t>
  </si>
  <si>
    <t>Veron</t>
  </si>
  <si>
    <t>Admixer Media Marketing and Consulting d.o.o.</t>
  </si>
  <si>
    <t>SAVSKA CESTA 32, 10110 ZAGREB</t>
  </si>
  <si>
    <t xml:space="preserve">Ivana </t>
  </si>
  <si>
    <t>Prakiš</t>
  </si>
  <si>
    <t>iprakis@admixeradvertising.com</t>
  </si>
  <si>
    <t>Scoreminds d.o.o.</t>
  </si>
  <si>
    <t>https://scoreminds.com</t>
  </si>
  <si>
    <t>david@scoreminds.com</t>
  </si>
  <si>
    <t>Anđela Nuića 2, 10000 Zagreb</t>
  </si>
  <si>
    <t>David</t>
  </si>
  <si>
    <t>Peranić</t>
  </si>
  <si>
    <t>MEGATREND REDOK d.o.o</t>
  </si>
  <si>
    <t>https://www.redok.hr/</t>
  </si>
  <si>
    <t>info@redok.net</t>
  </si>
  <si>
    <t>385 1 4091 288</t>
  </si>
  <si>
    <t>Velika cesta 47, 10020 Zagreb – Odra, Hrvatska</t>
  </si>
  <si>
    <t>Anđelka</t>
  </si>
  <si>
    <t>Strajher</t>
  </si>
  <si>
    <t>Andjelka.Strajher@megatrend.com</t>
  </si>
  <si>
    <t>091 248 0010</t>
  </si>
  <si>
    <t xml:space="preserve">Tonković Filipec
</t>
  </si>
  <si>
    <t>Ana.Filipec@megatrend.com</t>
  </si>
  <si>
    <t>385 91 4091 206</t>
  </si>
  <si>
    <t>Short-form content agencija Leptir</t>
  </si>
  <si>
    <t>https://leptir.co/</t>
  </si>
  <si>
    <t>hello@leptir.co</t>
  </si>
  <si>
    <t>099 5959 869</t>
  </si>
  <si>
    <t>13772482177</t>
  </si>
  <si>
    <t>Vukovarska 145, 21000 Split &amp; Zagreb</t>
  </si>
  <si>
    <t>Kuzmanović</t>
  </si>
  <si>
    <t>karlo@leptir.co</t>
  </si>
  <si>
    <t>B2B Intersales d.o.o.</t>
  </si>
  <si>
    <t>https://www.b2bintersales.com/</t>
  </si>
  <si>
    <t>dragan.maga@b2bintersales.com</t>
  </si>
  <si>
    <t>Banjole Dvorine 57, 52100 Pula</t>
  </si>
  <si>
    <t>Dragan</t>
  </si>
  <si>
    <t>Maga</t>
  </si>
  <si>
    <t>Electrocoin d.o.o.</t>
  </si>
  <si>
    <t>www.electrocoin.eu</t>
  </si>
  <si>
    <t>info@electrocoin.eu</t>
  </si>
  <si>
    <t>Ilica 15, 10000 Zagreb</t>
  </si>
  <si>
    <t>Katušić</t>
  </si>
  <si>
    <t>goran.katusic@electrocoin.eu</t>
  </si>
  <si>
    <t>Risely digital d.o.o.</t>
  </si>
  <si>
    <t>https://risely.digital</t>
  </si>
  <si>
    <t>hello@risely.digital</t>
  </si>
  <si>
    <t>Trg bana Josipa Jelačića 3, 10000 Zagreb</t>
  </si>
  <si>
    <t>Roberto</t>
  </si>
  <si>
    <t>Škopac</t>
  </si>
  <si>
    <t>roberto@risely.digital</t>
  </si>
  <si>
    <t>Storenest d.o.o.</t>
  </si>
  <si>
    <t>https://storenest.hr/</t>
  </si>
  <si>
    <t>info@storenest.hr</t>
  </si>
  <si>
    <t>385 99 432 9298</t>
  </si>
  <si>
    <t>Športska ulica 6A, 40000 Čakovec</t>
  </si>
  <si>
    <t>Leon</t>
  </si>
  <si>
    <t>Sekirnik</t>
  </si>
  <si>
    <t>leon@storenest.hr</t>
  </si>
  <si>
    <t>Petek</t>
  </si>
  <si>
    <t>luka@storenest.hr</t>
  </si>
  <si>
    <t>38FILMS kreativna agencija za video produkciju</t>
  </si>
  <si>
    <t>https://38films.eu/</t>
  </si>
  <si>
    <t>luka@38films.eu</t>
  </si>
  <si>
    <t>Ulica Ivana Kukuljevića 36, 10000 Zagreb</t>
  </si>
  <si>
    <t>Justinijanović</t>
  </si>
  <si>
    <t>2forge Innovation d.o.o.</t>
  </si>
  <si>
    <t>https://warehouse.hr/</t>
  </si>
  <si>
    <t>info@warehouse.hr</t>
  </si>
  <si>
    <t>Savska cesta 41, 10000 Zagreb</t>
  </si>
  <si>
    <t>Matija</t>
  </si>
  <si>
    <t>Fontana</t>
  </si>
  <si>
    <t>matija@2forge.io</t>
  </si>
  <si>
    <t xml:space="preserve">Lara </t>
  </si>
  <si>
    <t>Makar Brkić</t>
  </si>
  <si>
    <t>lara@2forge.io</t>
  </si>
  <si>
    <t>ALPHA PRIJEVODI d.o.o.</t>
  </si>
  <si>
    <t>https://alpha-prijevodi.hr</t>
  </si>
  <si>
    <t>aleksandra.lazar@alpha-prijevodi.hr</t>
  </si>
  <si>
    <t>Kombolova 13, 10010 Zagreb</t>
  </si>
  <si>
    <t>Aleksandra</t>
  </si>
  <si>
    <t>Lazar</t>
  </si>
  <si>
    <t>Pakirko d.o.o.</t>
  </si>
  <si>
    <t>https://pakirko.hr</t>
  </si>
  <si>
    <t>hej@pakirko.hr</t>
  </si>
  <si>
    <t>Ulica Ivana Šibla 17, 10000 Zagreb</t>
  </si>
  <si>
    <t>Matijević</t>
  </si>
  <si>
    <t>PROLO d.o.o.</t>
  </si>
  <si>
    <t>https://prolo.hr/</t>
  </si>
  <si>
    <t>prolo@prolo.hr</t>
  </si>
  <si>
    <t>Ladislava Kralja 26, 40000 Čakovec</t>
  </si>
  <si>
    <t>Jurgec</t>
  </si>
  <si>
    <t>Appoteka d.o.o.</t>
  </si>
  <si>
    <t>www.shopamine.com</t>
  </si>
  <si>
    <t>support@shopamine.com</t>
  </si>
  <si>
    <t>SI38913739</t>
  </si>
  <si>
    <t>Kamniška ulica 41, 1000 Ljubljana</t>
  </si>
  <si>
    <t>Jakob</t>
  </si>
  <si>
    <t>Robič</t>
  </si>
  <si>
    <t>jakob.robic@shopamine.com</t>
  </si>
  <si>
    <t>SI49492012</t>
  </si>
  <si>
    <t>Peter</t>
  </si>
  <si>
    <t>Brenko</t>
  </si>
  <si>
    <t>peter@appoteka.com</t>
  </si>
  <si>
    <t>SI83454942</t>
  </si>
  <si>
    <t>E-Sustavi d.o.o.</t>
  </si>
  <si>
    <t>www.e-sustavi.hr</t>
  </si>
  <si>
    <t>prodaja@e-sustavi.hr</t>
  </si>
  <si>
    <t>Dinarski put 22, 10000 Zagreb</t>
  </si>
  <si>
    <t>Marinić</t>
  </si>
  <si>
    <t>mario@e-sustavi.hr</t>
  </si>
  <si>
    <t>Modus Infinitum d.o.o.</t>
  </si>
  <si>
    <t>www.modusinfinitum.eu</t>
  </si>
  <si>
    <t>kristian.skovrlj@modusinfinitum.eu</t>
  </si>
  <si>
    <t>385 99 66 99 540</t>
  </si>
  <si>
    <t>Av. Dubrovnik 15/12, 10000 Zagreb</t>
  </si>
  <si>
    <t>Kristian-Renato</t>
  </si>
  <si>
    <t>Škovrlj</t>
  </si>
  <si>
    <t>Napomena</t>
  </si>
  <si>
    <t xml:space="preserve">Ime </t>
  </si>
  <si>
    <t>Prezime</t>
  </si>
  <si>
    <r>
      <rPr>
        <rFont val="Calibri"/>
        <b/>
        <color theme="1"/>
        <sz val="11.0"/>
      </rPr>
      <t xml:space="preserve">Prvo učlanjenje </t>
    </r>
    <r>
      <rPr>
        <rFont val="Calibri"/>
        <b/>
        <i/>
        <color theme="1"/>
        <sz val="9.0"/>
      </rPr>
      <t>(datum pristupanja)</t>
    </r>
  </si>
  <si>
    <t>Mobitel</t>
  </si>
  <si>
    <t>OIB</t>
  </si>
  <si>
    <t>Datum rođenja</t>
  </si>
  <si>
    <t>Adresa</t>
  </si>
  <si>
    <t>Nataša</t>
  </si>
  <si>
    <t>Miháľová</t>
  </si>
  <si>
    <t>nmihalova@gmail.com</t>
  </si>
  <si>
    <t>421905308895</t>
  </si>
  <si>
    <t>Andrea</t>
  </si>
  <si>
    <t>Perica</t>
  </si>
  <si>
    <t>aperica92@gmail.com</t>
  </si>
  <si>
    <t>953761006</t>
  </si>
  <si>
    <t>28.07.</t>
  </si>
  <si>
    <t>Dragojle Jarnević 1</t>
  </si>
  <si>
    <t>Bosanac</t>
  </si>
  <si>
    <t>dbosanacrmrs@gmail.com</t>
  </si>
  <si>
    <t>953947809</t>
  </si>
  <si>
    <t>Rodik</t>
  </si>
  <si>
    <t>bojan.rodik@gmail.com</t>
  </si>
  <si>
    <t>916400454</t>
  </si>
  <si>
    <t>22.01.1983.</t>
  </si>
  <si>
    <t>Radnička 38, Hrašćica, Varaždin</t>
  </si>
  <si>
    <t>Tin</t>
  </si>
  <si>
    <t>Borović</t>
  </si>
  <si>
    <t>tin.borovic@gmail.com</t>
  </si>
  <si>
    <t>996930156</t>
  </si>
  <si>
    <t>Jadranko</t>
  </si>
  <si>
    <t>Gudan</t>
  </si>
  <si>
    <t>jadranko.gudan@gmail.com</t>
  </si>
  <si>
    <t>Nenad</t>
  </si>
  <si>
    <t>Kirić</t>
  </si>
  <si>
    <t>nenad@chaos.com.hr</t>
  </si>
  <si>
    <t>Denis</t>
  </si>
  <si>
    <t>Savretić</t>
  </si>
  <si>
    <t>dsavretic@gmail.com</t>
  </si>
  <si>
    <t>993537445</t>
  </si>
  <si>
    <t>Josipa</t>
  </si>
  <si>
    <t>Salopek</t>
  </si>
  <si>
    <t>josipasalopek@magdis.hr</t>
  </si>
  <si>
    <t>993995030</t>
  </si>
  <si>
    <t>Radišić</t>
  </si>
  <si>
    <t>nikola@centellamedia.com</t>
  </si>
  <si>
    <t>976567484</t>
  </si>
  <si>
    <t>Divjanović</t>
  </si>
  <si>
    <t>ivanswipe123@gmail.com</t>
  </si>
  <si>
    <t>954040118</t>
  </si>
  <si>
    <t>Meštrović</t>
  </si>
  <si>
    <t>lmestrov2000@gmail.com</t>
  </si>
  <si>
    <t>Igor</t>
  </si>
  <si>
    <t>Miškić</t>
  </si>
  <si>
    <t>igor.miskic@gmail.com</t>
  </si>
  <si>
    <t>976992868</t>
  </si>
  <si>
    <t>Meleh</t>
  </si>
  <si>
    <t>igor.meleh@gmail.com</t>
  </si>
  <si>
    <t>911608979</t>
  </si>
  <si>
    <t>Henis</t>
  </si>
  <si>
    <t>Džaferhodžić</t>
  </si>
  <si>
    <t>dropiship95@gmail.com</t>
  </si>
  <si>
    <t>Haris</t>
  </si>
  <si>
    <t>ricardcudi@gmail.com</t>
  </si>
  <si>
    <t>Irena</t>
  </si>
  <si>
    <t>Petrović</t>
  </si>
  <si>
    <t>petrovicirena1203@gmail.com</t>
  </si>
  <si>
    <t>989684161</t>
  </si>
  <si>
    <t>Tisak</t>
  </si>
  <si>
    <t>f.tisak@yahoo.com</t>
  </si>
  <si>
    <t>958037854</t>
  </si>
  <si>
    <t>Emanuela Vidovića 3h
10360 Sesvete</t>
  </si>
  <si>
    <t>Čedomir</t>
  </si>
  <si>
    <t>Vujatović</t>
  </si>
  <si>
    <t>cedomir.vujatovic@hotmail.com</t>
  </si>
  <si>
    <t>Gvozdic</t>
  </si>
  <si>
    <t>josip.gvozdic@gmail.com</t>
  </si>
  <si>
    <t>Cetingradska 20, 10 110 Zagreb</t>
  </si>
  <si>
    <t>Crnjak</t>
  </si>
  <si>
    <t>crnjakmarko@gmail.com</t>
  </si>
  <si>
    <t>Selska cesta 79, 10000 Zagreb,</t>
  </si>
  <si>
    <t>Zlatko</t>
  </si>
  <si>
    <t>Viščević</t>
  </si>
  <si>
    <t>zviscevic@gmail.com</t>
  </si>
  <si>
    <t>Rubeši 36A, Kastav</t>
  </si>
  <si>
    <t>Vilima Korajca 31</t>
  </si>
  <si>
    <t>Zoran</t>
  </si>
  <si>
    <t>Pejić</t>
  </si>
  <si>
    <t>zoran.pejich@gmail.com</t>
  </si>
  <si>
    <t>Pavlović</t>
  </si>
  <si>
    <t>igorp4561@gmail.com</t>
  </si>
  <si>
    <t>4917663426825</t>
  </si>
  <si>
    <t>Hrusta 5a, 51260 Crikvenica</t>
  </si>
  <si>
    <t>Željka</t>
  </si>
  <si>
    <t>Krolo Ivanov</t>
  </si>
  <si>
    <t>zeljka.krolo@gmail.com</t>
  </si>
  <si>
    <t>akademija-online sudjelovanje</t>
  </si>
  <si>
    <t>Lara</t>
  </si>
  <si>
    <t>Matković</t>
  </si>
  <si>
    <t>e-store.fi@samsung.com</t>
  </si>
  <si>
    <t>Lugera Outsourcing d.o.o.</t>
  </si>
  <si>
    <t xml:space="preserve">Cvijetko </t>
  </si>
  <si>
    <t>Runjak</t>
  </si>
  <si>
    <t>cvijetko.runjak@mail.com</t>
  </si>
  <si>
    <t>Batinić Gavrić</t>
  </si>
  <si>
    <t>batinic.gavric@gmail.com</t>
  </si>
  <si>
    <t>Lukenda</t>
  </si>
  <si>
    <t>fisherana02@gmail.com</t>
  </si>
  <si>
    <t>385997880958</t>
  </si>
  <si>
    <t>Ul. bana Josipa Jelačića 81. HR-10410, Velika Gorica</t>
  </si>
  <si>
    <t>CREW</t>
  </si>
  <si>
    <t>Gospodarić</t>
  </si>
  <si>
    <t>gospodaric.karla@gmail.com</t>
  </si>
  <si>
    <t>955625847</t>
  </si>
  <si>
    <t>Graščica 5, 10000 Zagreb</t>
  </si>
  <si>
    <t>Nina</t>
  </si>
  <si>
    <t>Prkačin</t>
  </si>
  <si>
    <t>nina.prkacin10@gmail.com</t>
  </si>
  <si>
    <t>955073552</t>
  </si>
  <si>
    <t>Ulica Roberta Frangeša Mihanovića 7, 10000 Zagreb</t>
  </si>
  <si>
    <t>Morović</t>
  </si>
  <si>
    <t>morovic2006@gmail.com</t>
  </si>
  <si>
    <t>919779752</t>
  </si>
  <si>
    <t>heinzelova 47, 10000 Zagreb</t>
  </si>
  <si>
    <t>Mia</t>
  </si>
  <si>
    <t>Petričević</t>
  </si>
  <si>
    <t>mia.petricevic1605@gmail.com</t>
  </si>
  <si>
    <t>0915035915</t>
  </si>
  <si>
    <t>Matijašec 20a, 10000 Zagreb</t>
  </si>
  <si>
    <t>Marta</t>
  </si>
  <si>
    <t>Soldić</t>
  </si>
  <si>
    <t>marta.soldic@gmail.com</t>
  </si>
  <si>
    <t>0915314565</t>
  </si>
  <si>
    <t>Desprimska 18, 10257 Brezovica, Grad Zagreb</t>
  </si>
  <si>
    <t>Andy</t>
  </si>
  <si>
    <t>Kečević</t>
  </si>
  <si>
    <t>andy.kecevic090@gmail.com</t>
  </si>
  <si>
    <t>0981823350</t>
  </si>
  <si>
    <t>Malogoricka 44, 10000 Zagreb</t>
  </si>
  <si>
    <t>Pavao</t>
  </si>
  <si>
    <t>Novosel</t>
  </si>
  <si>
    <t>pavao.novosel@gmail.com</t>
  </si>
  <si>
    <t>0915574706</t>
  </si>
  <si>
    <t xml:space="preserve">Turinina 12, 10010 Zagreb </t>
  </si>
  <si>
    <t>Hana</t>
  </si>
  <si>
    <t>Ružić</t>
  </si>
  <si>
    <t>ruzichana@gmail.com</t>
  </si>
  <si>
    <t>0955627722</t>
  </si>
  <si>
    <t>Ulica Nikole Tesle 14h, 23000 Zadar</t>
  </si>
  <si>
    <t xml:space="preserve">Alan </t>
  </si>
  <si>
    <t>Lokas</t>
  </si>
  <si>
    <t>alan.lokas11@gmail.com</t>
  </si>
  <si>
    <t>0911808567</t>
  </si>
  <si>
    <t>Ivana Gundulića 32, 22000 Šibenik</t>
  </si>
  <si>
    <t xml:space="preserve">Anita </t>
  </si>
  <si>
    <t>Žeželj</t>
  </si>
  <si>
    <t>a.zezelj25@gmail.com</t>
  </si>
  <si>
    <t>0998610795</t>
  </si>
  <si>
    <t>Sportska 2B, 49282 Konjščina</t>
  </si>
  <si>
    <t>Viktoria</t>
  </si>
  <si>
    <t>Međimorec</t>
  </si>
  <si>
    <t>viktoriamedimorec@gmail.com</t>
  </si>
  <si>
    <t>0998749715</t>
  </si>
  <si>
    <t>Struga 1, 42233 Sveti Đurđ</t>
  </si>
  <si>
    <t>Ena</t>
  </si>
  <si>
    <t>Starešinčić</t>
  </si>
  <si>
    <t>ena.gorica@gmail.com</t>
  </si>
  <si>
    <t>0989108654</t>
  </si>
  <si>
    <t>Vladimira Vidrića 4, 10410 Velika Gorica</t>
  </si>
  <si>
    <t>Jurica</t>
  </si>
  <si>
    <t>Marević</t>
  </si>
  <si>
    <t>jurica.marevic@gmail.com</t>
  </si>
  <si>
    <t>0994017310</t>
  </si>
  <si>
    <t>Ćelići 10, 20341 Podrujnica</t>
  </si>
  <si>
    <t>Margan</t>
  </si>
  <si>
    <t>andrea.margan@arriva.com.hr</t>
  </si>
  <si>
    <t>385977101104</t>
  </si>
  <si>
    <t>Željka Čepulića 5, Kostrena 51221</t>
  </si>
  <si>
    <t>Milena</t>
  </si>
  <si>
    <t>Gemić</t>
  </si>
  <si>
    <t>milena.gemic@gmail.com</t>
  </si>
  <si>
    <t>0911429492</t>
  </si>
  <si>
    <t>Jelićeva ul. 15, 51000 Rijeka</t>
  </si>
  <si>
    <t>0918845149</t>
  </si>
  <si>
    <t>Nikole Zrinskog 3, 35000 Slavonski Brod</t>
  </si>
  <si>
    <t>Jakica</t>
  </si>
  <si>
    <t>Vučetić</t>
  </si>
  <si>
    <t>jakica5@gmail.com</t>
  </si>
  <si>
    <t>098225520</t>
  </si>
  <si>
    <t>Hvarskih brativština 15, 21450 Hvar</t>
  </si>
  <si>
    <t>Mirna</t>
  </si>
  <si>
    <t>mirna@zenskirecenziraj.com</t>
  </si>
  <si>
    <t>0953542322</t>
  </si>
  <si>
    <t>B. A. Mandića 29, 31400 Đakovo</t>
  </si>
  <si>
    <t>Roman</t>
  </si>
  <si>
    <t>Smirnov</t>
  </si>
  <si>
    <t>roman@meotida.pl</t>
  </si>
  <si>
    <t>Oreškovićeva ul. 6H, 10020 Zagreb</t>
  </si>
  <si>
    <t>Suzana</t>
  </si>
  <si>
    <t>Puntarić</t>
  </si>
  <si>
    <t>suzana.puntaric@gmail.com</t>
  </si>
  <si>
    <t>0921749858</t>
  </si>
  <si>
    <t>Štefanovec 122, 10000 Zagreb</t>
  </si>
  <si>
    <t>Dino dao godinu dana gratis</t>
  </si>
  <si>
    <t>Lukanec</t>
  </si>
  <si>
    <t>lukanec@gmail.com</t>
  </si>
  <si>
    <t>385 97 713 2550</t>
  </si>
  <si>
    <t>Ištvanović</t>
  </si>
  <si>
    <t>dejan.istvanovic@gmail.com</t>
  </si>
  <si>
    <t>099 3284 785</t>
  </si>
  <si>
    <t>Krizevacka 31b, 48000 Koprivnica</t>
  </si>
  <si>
    <t>Leonarda</t>
  </si>
  <si>
    <t>Pavlin</t>
  </si>
  <si>
    <t>pavlin.leonarda@gmail.com</t>
  </si>
  <si>
    <t>0996990480</t>
  </si>
  <si>
    <t>Kaštanjež 88, 52100 Banjole</t>
  </si>
  <si>
    <t>Asja</t>
  </si>
  <si>
    <t xml:space="preserve">Dianežević </t>
  </si>
  <si>
    <t>asjadianezevic5@gmail.com</t>
  </si>
  <si>
    <t>0917986642</t>
  </si>
  <si>
    <t>Odranska ulica 66, 44000 Sisak</t>
  </si>
  <si>
    <t>Petra</t>
  </si>
  <si>
    <t>Pranjić</t>
  </si>
  <si>
    <t>petra.petrapranjic@gmail.com</t>
  </si>
  <si>
    <t>Ul. Jurja Biankinija 13, 10000 Zagreb</t>
  </si>
  <si>
    <t>Lu</t>
  </si>
  <si>
    <t>Ivoš</t>
  </si>
  <si>
    <t>lu.ivos12@gmail.com</t>
  </si>
  <si>
    <t>998286838</t>
  </si>
  <si>
    <t>Ivana Mažuranića 15, 23000 Zadar</t>
  </si>
  <si>
    <t>Pamić</t>
  </si>
  <si>
    <t>davidpamic71@gmail.com</t>
  </si>
  <si>
    <t>0994106996</t>
  </si>
  <si>
    <t>Stancija Bogoci 53A, 52215 Vodnjan</t>
  </si>
  <si>
    <t>Smoljanović</t>
  </si>
  <si>
    <t>smoljanovica30@gmail.com</t>
  </si>
  <si>
    <t>385989641289</t>
  </si>
  <si>
    <t>Put Vrila 16, 21310 Omiš</t>
  </si>
  <si>
    <t>Cvitanović</t>
  </si>
  <si>
    <t>nikolacvitanovic.hr@gmail.com</t>
  </si>
  <si>
    <t>095 524 6572</t>
  </si>
  <si>
    <t>Ulica sv. Leopolda Mandića 6, 10040 Zagreb</t>
  </si>
  <si>
    <t>Čučković</t>
  </si>
  <si>
    <t>cuckovichrvoje@gmail.com</t>
  </si>
  <si>
    <t>0957056320</t>
  </si>
  <si>
    <t>Ulica Vilima Korajca 10, 10090 Zagreb</t>
  </si>
  <si>
    <t>Jančić</t>
  </si>
  <si>
    <t>filip.jancic@yahoo.com</t>
  </si>
  <si>
    <t>385995012667</t>
  </si>
  <si>
    <t>Selska cesta 123/1, 10110 Zagreb</t>
  </si>
  <si>
    <t>Dilber</t>
  </si>
  <si>
    <t>dilbertoni14@gmail.com</t>
  </si>
  <si>
    <t>0996688460</t>
  </si>
  <si>
    <t>Maslenička 17, 22300 Knin</t>
  </si>
  <si>
    <t>Marijana</t>
  </si>
  <si>
    <t>Gjurek</t>
  </si>
  <si>
    <t>marijana.gjurek@gmail.com</t>
  </si>
  <si>
    <t>385997021623</t>
  </si>
  <si>
    <t>Krijesnice 8, 10000Zagreb</t>
  </si>
  <si>
    <t>Puzak</t>
  </si>
  <si>
    <t>luka@puzak.com</t>
  </si>
  <si>
    <t>385 99 3081 900</t>
  </si>
  <si>
    <t>Medveščak 8, 10000 Zagreb</t>
  </si>
  <si>
    <t>Lucija</t>
  </si>
  <si>
    <t>Crnoja</t>
  </si>
  <si>
    <t xml:space="preserve">lucijacrnoja1@gmail.com
</t>
  </si>
  <si>
    <t>0997573957</t>
  </si>
  <si>
    <t>Tomislava Pavleka 18, 10090 zagreb</t>
  </si>
  <si>
    <t>Crnac</t>
  </si>
  <si>
    <t>marijacrnac71@gmail.com</t>
  </si>
  <si>
    <t>0919580074</t>
  </si>
  <si>
    <t>Gajeva 29, 44320 Kutina</t>
  </si>
  <si>
    <t>Karolina</t>
  </si>
  <si>
    <t>Hrg</t>
  </si>
  <si>
    <t>hrgkarolina@gmail.com</t>
  </si>
  <si>
    <t>0994330212</t>
  </si>
  <si>
    <t>Remetinečka cesta 75, 10020 Zagreb</t>
  </si>
  <si>
    <t>Bilješke</t>
  </si>
  <si>
    <t>Naziv tvrtke</t>
  </si>
  <si>
    <t>SAFE SHOP</t>
  </si>
  <si>
    <t>AKTIVAN CERTIFIKAT</t>
  </si>
  <si>
    <t xml:space="preserve">AKADEMIJA </t>
  </si>
  <si>
    <t>CRO COMMERCE</t>
  </si>
  <si>
    <r>
      <rPr>
        <rFont val="Calibri"/>
        <b/>
        <color theme="1"/>
        <sz val="11.0"/>
      </rPr>
      <t xml:space="preserve">Prvo učlanjenje </t>
    </r>
    <r>
      <rPr>
        <rFont val="Calibri"/>
        <b/>
        <i/>
        <color theme="1"/>
        <sz val="9.0"/>
      </rPr>
      <t>(datum pristupanja)</t>
    </r>
  </si>
  <si>
    <t>E-mail tvrtke</t>
  </si>
  <si>
    <t>OIB 1. član</t>
  </si>
  <si>
    <t>Vidam Trade .o.o.</t>
  </si>
  <si>
    <t>https://vidam.hr/</t>
  </si>
  <si>
    <t>webshop@vidam.hr</t>
  </si>
  <si>
    <t>88213570283</t>
  </si>
  <si>
    <t>Kolodvorska 116, 31540 Donji Miholjac</t>
  </si>
  <si>
    <t>Marjan</t>
  </si>
  <si>
    <t>Vrban</t>
  </si>
  <si>
    <t>marjan@vidam.hr</t>
  </si>
  <si>
    <t>Darijo</t>
  </si>
  <si>
    <t>dvrban@vidam.hr</t>
  </si>
  <si>
    <t>Tokić d.d.</t>
  </si>
  <si>
    <t>https://webshop.tokic.hr/</t>
  </si>
  <si>
    <t>webshop@tokic.hr</t>
  </si>
  <si>
    <t>74867487620</t>
  </si>
  <si>
    <t>Ulica 144. brigade Hrvatske vojske 1a, 10360 Sesvete</t>
  </si>
  <si>
    <t>Jurkin</t>
  </si>
  <si>
    <t>tomislav.jurkin@tokic.hr</t>
  </si>
  <si>
    <t>Kompare online d.o.o.</t>
  </si>
  <si>
    <t>https://kompare.hr/</t>
  </si>
  <si>
    <t>support@kompare.hr</t>
  </si>
  <si>
    <t>20274969543</t>
  </si>
  <si>
    <t>Petra Jurčića 4b, 51000 Rijeka</t>
  </si>
  <si>
    <t>König</t>
  </si>
  <si>
    <t>karlo@kompare.hr</t>
  </si>
  <si>
    <t>Forte solar doo</t>
  </si>
  <si>
    <t>planiram ga razviti</t>
  </si>
  <si>
    <t>luka@fortesolar.hr</t>
  </si>
  <si>
    <t>03658728214</t>
  </si>
  <si>
    <t>Dračevac 3D, 21000 Split</t>
  </si>
  <si>
    <t>Vetma</t>
  </si>
  <si>
    <t>Birgon d.o.o.</t>
  </si>
  <si>
    <t>IMAJU LOGO</t>
  </si>
  <si>
    <t>Da</t>
  </si>
  <si>
    <t>www.ealati.hr</t>
  </si>
  <si>
    <t>info@ealati.hr</t>
  </si>
  <si>
    <t>56898472976</t>
  </si>
  <si>
    <t>Kovinska 4,10090 Zagreb</t>
  </si>
  <si>
    <t>Nik</t>
  </si>
  <si>
    <t>Nuši</t>
  </si>
  <si>
    <t>nik@birgon.hr</t>
  </si>
  <si>
    <t xml:space="preserve"> (300 pozivnica mjesečno) za period 27.1.2026. - 27.1.2027.</t>
  </si>
  <si>
    <t>Cemio Switzerland, s.r.o.</t>
  </si>
  <si>
    <t>IMAJU LOGO I WIDGET</t>
  </si>
  <si>
    <t>www.divokoza.hr</t>
  </si>
  <si>
    <t>info@divokoza.hr</t>
  </si>
  <si>
    <t>CZ27944905</t>
  </si>
  <si>
    <t>Tomíčkova 2144/1, 14800 Praha 4</t>
  </si>
  <si>
    <t>Kardashevski</t>
  </si>
  <si>
    <t>petra.kardashevski@cemio.net</t>
  </si>
  <si>
    <t>Polona</t>
  </si>
  <si>
    <t>Kisovec</t>
  </si>
  <si>
    <t>polona.kisovec@121marketing.si</t>
  </si>
  <si>
    <t>Ekupi d.o.o.</t>
  </si>
  <si>
    <t>NEMAJU NIŠTA</t>
  </si>
  <si>
    <t>DA</t>
  </si>
  <si>
    <t>www.ekupi.hr</t>
  </si>
  <si>
    <t>podrska@ekupi.hr</t>
  </si>
  <si>
    <t>01 333 8888</t>
  </si>
  <si>
    <t>67567085531</t>
  </si>
  <si>
    <t>Buzinski prilaz 10, 10010 Buzin</t>
  </si>
  <si>
    <t>Sonja</t>
  </si>
  <si>
    <t>Martinović Domitrović</t>
  </si>
  <si>
    <t>sonja.martinovic@ekupi.hr</t>
  </si>
  <si>
    <t>091 6300798</t>
  </si>
  <si>
    <t xml:space="preserve">Kozmetički salon Fancy Epilderm </t>
  </si>
  <si>
    <t>https://epilderm.hr/shop/</t>
  </si>
  <si>
    <t>maja.fanci@gmail.com</t>
  </si>
  <si>
    <t>05518827103</t>
  </si>
  <si>
    <t>Marije Radić 14 , 10090 Zagreb</t>
  </si>
  <si>
    <t>Maja</t>
  </si>
  <si>
    <t>Vidosevic</t>
  </si>
  <si>
    <t>maja.fanci17@gmail.com</t>
  </si>
  <si>
    <t>zanima ih akademija 2026</t>
  </si>
  <si>
    <t>Michel d.o.o.</t>
  </si>
  <si>
    <t>https://michel-promo.com</t>
  </si>
  <si>
    <t>promo@michel.hr</t>
  </si>
  <si>
    <t>26240899420</t>
  </si>
  <si>
    <t>Prilaz baruna Filipovića 15A, 10000 Zagreb</t>
  </si>
  <si>
    <t>Lea</t>
  </si>
  <si>
    <t>Sevšek</t>
  </si>
  <si>
    <t>lea@michel.hr</t>
  </si>
  <si>
    <t>TERMO-HLAD</t>
  </si>
  <si>
    <t>https://klima-uredaji.com.hr/</t>
  </si>
  <si>
    <t>info@klima-uredaji.com.hr</t>
  </si>
  <si>
    <t>86043846107</t>
  </si>
  <si>
    <t>Jakovljanska 1, 10297 Jakovlje</t>
  </si>
  <si>
    <t>Hlad</t>
  </si>
  <si>
    <t xml:space="preserve">Martina </t>
  </si>
  <si>
    <t>martinahlad@gmail.com</t>
  </si>
  <si>
    <t>Alfasol d.o.o.</t>
  </si>
  <si>
    <t>https://klimatizacija.hr</t>
  </si>
  <si>
    <t>official@alfasol.hr</t>
  </si>
  <si>
    <t>40343790595</t>
  </si>
  <si>
    <t>Ulica kneza Branimira 189, 10040 Zagreb</t>
  </si>
  <si>
    <t>Vihnanek</t>
  </si>
  <si>
    <t>davor.vihnanek@klimatizacija.hr</t>
  </si>
  <si>
    <t>Lamuri d.o.o.</t>
  </si>
  <si>
    <t>virkusicshop.com</t>
  </si>
  <si>
    <t>info@virkusicshop.com</t>
  </si>
  <si>
    <t>58123163123</t>
  </si>
  <si>
    <t>Ulica Franje Wolfla 4, 10000 Zagreb</t>
  </si>
  <si>
    <t>Spina</t>
  </si>
  <si>
    <t>igorspina@gmail.com</t>
  </si>
  <si>
    <t>Agnieszka</t>
  </si>
  <si>
    <t>Wirkus</t>
  </si>
  <si>
    <t xml:space="preserve">agnieszka.wirkus90@gmail.com </t>
  </si>
  <si>
    <t>MATREX d.o.o.</t>
  </si>
  <si>
    <t>IMAJU WIDGET</t>
  </si>
  <si>
    <t>https://matrex.hr/</t>
  </si>
  <si>
    <t>info@matrex.hr</t>
  </si>
  <si>
    <t>21830590325</t>
  </si>
  <si>
    <t xml:space="preserve"> Ulica Ivana Severa 7,  42000, Varaždin, Hrvatska</t>
  </si>
  <si>
    <t>Magdalena</t>
  </si>
  <si>
    <t>Jaklin</t>
  </si>
  <si>
    <t>magdalena@lmkomunikacije.com</t>
  </si>
  <si>
    <t xml:space="preserve">Sandra </t>
  </si>
  <si>
    <t xml:space="preserve">Šilec Kukec </t>
  </si>
  <si>
    <t>Marcel dao godinu gratis</t>
  </si>
  <si>
    <t>Hedera d.o.o</t>
  </si>
  <si>
    <t>www.hedera.hr</t>
  </si>
  <si>
    <t>hedera@hedera.hr</t>
  </si>
  <si>
    <t>50630349783</t>
  </si>
  <si>
    <t>4. gardijske brigade 35, 21000 Split</t>
  </si>
  <si>
    <t>Radić</t>
  </si>
  <si>
    <t>ivan@hedera.hr</t>
  </si>
  <si>
    <t>platio članstvo</t>
  </si>
  <si>
    <t>www.apipet.eu</t>
  </si>
  <si>
    <t>apipet@apipet.eu</t>
  </si>
  <si>
    <t>Microteam d.o.o.</t>
  </si>
  <si>
    <t>microteam.hr</t>
  </si>
  <si>
    <t>info@microteam.hr</t>
  </si>
  <si>
    <t>01 6219 280</t>
  </si>
  <si>
    <t>57375677395</t>
  </si>
  <si>
    <t>Kurilovečka 1, 10410 Velika Gorica</t>
  </si>
  <si>
    <t>Mislav</t>
  </si>
  <si>
    <t>Vešnik</t>
  </si>
  <si>
    <t>mislav@microteam.hr</t>
  </si>
  <si>
    <t xml:space="preserve">385 91 4743 121 </t>
  </si>
  <si>
    <t>Internet Mall d.o.o.</t>
  </si>
  <si>
    <t>https://www.mall.hr/</t>
  </si>
  <si>
    <t>info@mall.hr</t>
  </si>
  <si>
    <t>91380369083</t>
  </si>
  <si>
    <t>Horvatova 80a, 10000 Zagreb</t>
  </si>
  <si>
    <t>Lončarek</t>
  </si>
  <si>
    <t>martina.loncarek@allegro.com</t>
  </si>
  <si>
    <t xml:space="preserve">Prima namještaj d.o.o. </t>
  </si>
  <si>
    <t>https://www.prima-namjestaj.hr</t>
  </si>
  <si>
    <t>info@prima-namjestaj.hr</t>
  </si>
  <si>
    <t>385 91 5715 295</t>
  </si>
  <si>
    <t>98651113279</t>
  </si>
  <si>
    <t>Krapinska ulica 37, 10290 Zaprešić</t>
  </si>
  <si>
    <t>Iva</t>
  </si>
  <si>
    <t>Ohnjec</t>
  </si>
  <si>
    <t>iohnjec@prima-namjestaj.hr</t>
  </si>
  <si>
    <t>Majstori svijeca d.o.o.</t>
  </si>
  <si>
    <t>https://majstorisvijeca.com/</t>
  </si>
  <si>
    <t>info@majstorisvijeca.com</t>
  </si>
  <si>
    <t>91300378805</t>
  </si>
  <si>
    <t>Mokricka 113, 10292 Ključ Brdovečki</t>
  </si>
  <si>
    <t>Kovačić</t>
  </si>
  <si>
    <t>mario@majstorisvijeca.com</t>
  </si>
  <si>
    <t>Dalia, obrt za dekoracije i usluge</t>
  </si>
  <si>
    <t>https://dalia-partyshop.hr</t>
  </si>
  <si>
    <t>dalia.partyshop@gmail.com</t>
  </si>
  <si>
    <t>27100917121</t>
  </si>
  <si>
    <t>Ivana Gundulića 6, 43000 Bjelovar</t>
  </si>
  <si>
    <t>Mlikotić</t>
  </si>
  <si>
    <t>daliapartyshop12@gmail.com</t>
  </si>
  <si>
    <t>SAIVA d. o. o.</t>
  </si>
  <si>
    <t>https://www.centarzlata.com/</t>
  </si>
  <si>
    <t>info@centarzlata.com</t>
  </si>
  <si>
    <t>01 3000 783</t>
  </si>
  <si>
    <t>82703642024</t>
  </si>
  <si>
    <t>Savska 41/11, 10000 Zagreb</t>
  </si>
  <si>
    <t>Marin</t>
  </si>
  <si>
    <t>Ivić</t>
  </si>
  <si>
    <t>marin@centarzlata.com</t>
  </si>
  <si>
    <t>Applause development d.o.o.</t>
  </si>
  <si>
    <t>https://www.50nijansi.hr</t>
  </si>
  <si>
    <t>info@50nijansi.hr</t>
  </si>
  <si>
    <t>05071312447</t>
  </si>
  <si>
    <t>Brezovička cesta 77d</t>
  </si>
  <si>
    <t>igor@applause.hr</t>
  </si>
  <si>
    <t>Kupi gume d.o.o.</t>
  </si>
  <si>
    <t>kupigume.hr</t>
  </si>
  <si>
    <t>kontakt@kupigume.hr</t>
  </si>
  <si>
    <t>58840473717</t>
  </si>
  <si>
    <t>Josipa Jovića 11, 21000 Split</t>
  </si>
  <si>
    <t>Neva Miet</t>
  </si>
  <si>
    <t>Rakijar</t>
  </si>
  <si>
    <t>neva@kupigume.hr</t>
  </si>
  <si>
    <t>Branko</t>
  </si>
  <si>
    <t>Bočina</t>
  </si>
  <si>
    <t>Ray Of Sunshine vl. Mariia Torianyk</t>
  </si>
  <si>
    <t>https://rayofsunshine.eu/</t>
  </si>
  <si>
    <t>hello@rayofsunshine.eu</t>
  </si>
  <si>
    <t>095 399 5123</t>
  </si>
  <si>
    <t>32007728003</t>
  </si>
  <si>
    <t>Dravska ulica 17, 48000 Koprivnica</t>
  </si>
  <si>
    <t>Pintar</t>
  </si>
  <si>
    <t>TUO GSM Electronic</t>
  </si>
  <si>
    <t>gsmshop.hr</t>
  </si>
  <si>
    <t>dejan.gsm@gmail.com</t>
  </si>
  <si>
    <t>90192165467</t>
  </si>
  <si>
    <t>Draškovićeva 35, 10000 Zagreb</t>
  </si>
  <si>
    <t>Ivičić</t>
  </si>
  <si>
    <t>BRKO d.o.o.</t>
  </si>
  <si>
    <t>radimo na tome upravo</t>
  </si>
  <si>
    <t>brkodoozadar@gmail.com</t>
  </si>
  <si>
    <t>098-839393</t>
  </si>
  <si>
    <t>23204053876</t>
  </si>
  <si>
    <t>Put biliga 79, 23000 Zadar</t>
  </si>
  <si>
    <t>Frane</t>
  </si>
  <si>
    <t>Podvršnik</t>
  </si>
  <si>
    <t>frane@zadar.net</t>
  </si>
  <si>
    <t>Stubmar d.o.o.</t>
  </si>
  <si>
    <t>stubmar.hr</t>
  </si>
  <si>
    <t>info@stubmar.hr</t>
  </si>
  <si>
    <t>6313713446</t>
  </si>
  <si>
    <t>Strmečka cesta 22e, 49244 Stubičke Toplice</t>
  </si>
  <si>
    <t>Mamuča</t>
  </si>
  <si>
    <t>matija@stubmar.hr</t>
  </si>
  <si>
    <t>POD d.o.o.</t>
  </si>
  <si>
    <t>webshop.pod.hr</t>
  </si>
  <si>
    <t>info@pod.hr</t>
  </si>
  <si>
    <t>3398907795</t>
  </si>
  <si>
    <t>Dežanovac 234, 43500 Daruvar</t>
  </si>
  <si>
    <t>Ignatovski</t>
  </si>
  <si>
    <t>ivan.ignatovski@pod.hr</t>
  </si>
  <si>
    <t>Double M d.o.o.</t>
  </si>
  <si>
    <t>double-m.hr</t>
  </si>
  <si>
    <t>webshop@double-m.hr</t>
  </si>
  <si>
    <t>10693174312</t>
  </si>
  <si>
    <t>Zemunik Donji XVI/51, 23222 Zemunik Donji</t>
  </si>
  <si>
    <t xml:space="preserve">Tina </t>
  </si>
  <si>
    <t>Pavlović Garžina</t>
  </si>
  <si>
    <t>Divita d.o.o.</t>
  </si>
  <si>
    <t>www.terrapiaskincare.com</t>
  </si>
  <si>
    <t>hello@terrapiaskincare.com</t>
  </si>
  <si>
    <t>80171778299</t>
  </si>
  <si>
    <t>Kozjačka 157, 31000 Osijek</t>
  </si>
  <si>
    <t>Marcela</t>
  </si>
  <si>
    <t>Šperanda</t>
  </si>
  <si>
    <t>marcela.speranda@gmail.com</t>
  </si>
  <si>
    <t>UNIKATNI POKLONI doo</t>
  </si>
  <si>
    <t>www.unikatni-pokloni.com</t>
  </si>
  <si>
    <t>info@unikatni-pokloni.com</t>
  </si>
  <si>
    <t>99642917477</t>
  </si>
  <si>
    <t>Put Perišići 26, 51415 Lovran</t>
  </si>
  <si>
    <t>Zuanović</t>
  </si>
  <si>
    <t>damir.zuanovic@gmail.com</t>
  </si>
  <si>
    <t>AVEBI d.o.o</t>
  </si>
  <si>
    <t>avebiangels.com</t>
  </si>
  <si>
    <t>avebiangels@gmail.com</t>
  </si>
  <si>
    <t>55442710652</t>
  </si>
  <si>
    <t>Malogorička ulica 42, 10000 Zagreb</t>
  </si>
  <si>
    <t>Jovicevic</t>
  </si>
  <si>
    <t>jovicevicjr10@gmail.com</t>
  </si>
  <si>
    <t>Ruber rosa d.o.o.</t>
  </si>
  <si>
    <t>http://www.findit.hr/</t>
  </si>
  <si>
    <t>prodaja@findit.hr</t>
  </si>
  <si>
    <t>099/2544-331</t>
  </si>
  <si>
    <t>84427196834</t>
  </si>
  <si>
    <t>Hrašćanska 13, 10000 Zagreb</t>
  </si>
  <si>
    <t>Dubravka</t>
  </si>
  <si>
    <t>Havidić</t>
  </si>
  <si>
    <t>Monile d.o.o.</t>
  </si>
  <si>
    <t>https://www.galileomen.com/hr/</t>
  </si>
  <si>
    <t>webshop@galileomen.com</t>
  </si>
  <si>
    <t>091 4629 462</t>
  </si>
  <si>
    <t>14610016674</t>
  </si>
  <si>
    <t>Avenija Dubrovnik 16/7, 10000 Zagreb</t>
  </si>
  <si>
    <t xml:space="preserve">Kristina </t>
  </si>
  <si>
    <t>Premužić</t>
  </si>
  <si>
    <t>kristina.premuzic@galileomen.com</t>
  </si>
  <si>
    <t>MOLNAR STARI MLIN d.o.o.</t>
  </si>
  <si>
    <t>Www.saramondo.com</t>
  </si>
  <si>
    <t>info@saramondo.com</t>
  </si>
  <si>
    <t>39100299069</t>
  </si>
  <si>
    <t>Gornje Mokrice 2b, 44250 Petrinja</t>
  </si>
  <si>
    <t>Danijela</t>
  </si>
  <si>
    <t>Molnar</t>
  </si>
  <si>
    <t>danijelamolnar@icloud.com</t>
  </si>
  <si>
    <t>Martimex d.o.o.</t>
  </si>
  <si>
    <t>Martimex.hr</t>
  </si>
  <si>
    <t>webshop@martimex.hr</t>
  </si>
  <si>
    <t>24411086973</t>
  </si>
  <si>
    <t>Cebini 37, 10010 Buzin</t>
  </si>
  <si>
    <t>Pažin</t>
  </si>
  <si>
    <t>marija.pazin@martimex.hr</t>
  </si>
  <si>
    <t>SMARTSHOP j.d.o.o.</t>
  </si>
  <si>
    <t>TRUSTED SHOP LOGO</t>
  </si>
  <si>
    <t>mysmartshop.hr</t>
  </si>
  <si>
    <t>info@mysmartshop.hr</t>
  </si>
  <si>
    <t>94974736053</t>
  </si>
  <si>
    <t>P.Z. I K.FRANKOPANA 11, 49000 Krapina</t>
  </si>
  <si>
    <t>Vdović</t>
  </si>
  <si>
    <t>vvdovic80@gmail.com</t>
  </si>
  <si>
    <t>Foreo AB</t>
  </si>
  <si>
    <t>https://www.foreo.com/</t>
  </si>
  <si>
    <t>support@foreo.com</t>
  </si>
  <si>
    <t>46 72 501 82 99</t>
  </si>
  <si>
    <t>SE556922131901</t>
  </si>
  <si>
    <t>Radnička cesta 202, 10000 Zagreb</t>
  </si>
  <si>
    <t>Saša</t>
  </si>
  <si>
    <t>Kovačicek</t>
  </si>
  <si>
    <t>sasa.kovacicek@foreo.com</t>
  </si>
  <si>
    <t>AKIDS HR</t>
  </si>
  <si>
    <t xml:space="preserve">www.babycenter.hr </t>
  </si>
  <si>
    <t>klub@babycenter.hr</t>
  </si>
  <si>
    <t>97350708482</t>
  </si>
  <si>
    <t>Jankomir 33, 10000 Zagreb</t>
  </si>
  <si>
    <t>Uradin Jagić</t>
  </si>
  <si>
    <t>marijana.uradin.jagic@akids.hr</t>
  </si>
  <si>
    <t>MagisWall d.o.o.</t>
  </si>
  <si>
    <t>www.magiswall.hr</t>
  </si>
  <si>
    <t>info@magiswall.hr</t>
  </si>
  <si>
    <t>15105677032</t>
  </si>
  <si>
    <t>Ilica 347, 10000 Zagreb</t>
  </si>
  <si>
    <t>Janja</t>
  </si>
  <si>
    <t>Pavetić</t>
  </si>
  <si>
    <t>janja@magiswall.com</t>
  </si>
  <si>
    <t>Talent Show d.o.o.</t>
  </si>
  <si>
    <t>www.vitayummy.hr</t>
  </si>
  <si>
    <t>info@vitayummy.hr</t>
  </si>
  <si>
    <t>385 1 7980 979</t>
  </si>
  <si>
    <t>65715752263</t>
  </si>
  <si>
    <t>Višnjevac 3, 10 000 Zagreb</t>
  </si>
  <si>
    <t>Lucia</t>
  </si>
  <si>
    <t>Maćešić</t>
  </si>
  <si>
    <t>lucia.macesic@talentshow.hr</t>
  </si>
  <si>
    <t>račune slati na racuni@promopop.hr</t>
  </si>
  <si>
    <t>Promopop d.o.o.</t>
  </si>
  <si>
    <t>https://promopop.hr/</t>
  </si>
  <si>
    <t>info@promopop.hr</t>
  </si>
  <si>
    <t>33236830586</t>
  </si>
  <si>
    <t xml:space="preserve">Kapelica 47,43280 Garešnica
</t>
  </si>
  <si>
    <t>Karažija</t>
  </si>
  <si>
    <t>karazijadanijel@gmail.com
danijel@promopop.hr</t>
  </si>
  <si>
    <t xml:space="preserve">099 759 3268
</t>
  </si>
  <si>
    <t xml:space="preserve">potencijal za premium </t>
  </si>
  <si>
    <t>Links d.o.o.</t>
  </si>
  <si>
    <t>https://www.links.hr/hr</t>
  </si>
  <si>
    <t>prodaja@links.hr</t>
  </si>
  <si>
    <t>32614011568</t>
  </si>
  <si>
    <t>Ljubljanska ulica 2A, 10431 Sveta Nedelja</t>
  </si>
  <si>
    <t>Jasmin</t>
  </si>
  <si>
    <t>Ruga</t>
  </si>
  <si>
    <t>jasmin.ruga@links.hr</t>
  </si>
  <si>
    <t>Limes plus d.o.o.</t>
  </si>
  <si>
    <r>
      <rPr>
        <color rgb="FF1155CC"/>
        <u/>
      </rPr>
      <t>https://www.limes.hr/</t>
    </r>
    <r>
      <rPr/>
      <t xml:space="preserve"> </t>
    </r>
  </si>
  <si>
    <t>limes@limes.hr</t>
  </si>
  <si>
    <t>57560191883</t>
  </si>
  <si>
    <t>Kamenarka 29</t>
  </si>
  <si>
    <t>Dubravko</t>
  </si>
  <si>
    <t>Pavlešić</t>
  </si>
  <si>
    <t>dubravko@limes.hr</t>
  </si>
  <si>
    <t>In Mobile Accessories</t>
  </si>
  <si>
    <t>www.mobia.hr</t>
  </si>
  <si>
    <t>info@mobia.hr</t>
  </si>
  <si>
    <t>385 51 321 321</t>
  </si>
  <si>
    <t>82182748083</t>
  </si>
  <si>
    <t>Popovićev put 2C, 51211 Matulji</t>
  </si>
  <si>
    <t>Hundić</t>
  </si>
  <si>
    <t>ana.hundic@mobia.hr</t>
  </si>
  <si>
    <t>Aleks</t>
  </si>
  <si>
    <t>Brnabić</t>
  </si>
  <si>
    <t>aleks.brnabic@gmail.com</t>
  </si>
  <si>
    <t>Open Solutions d.o.o.</t>
  </si>
  <si>
    <t>www.kiosk24.hr/kiosk</t>
  </si>
  <si>
    <t>info@kiosk24.hr</t>
  </si>
  <si>
    <t>098 490 631</t>
  </si>
  <si>
    <t>22042836051</t>
  </si>
  <si>
    <t>Ulica Matka Baštijana 52a, 10000 Zagreb</t>
  </si>
  <si>
    <t>Stepinac</t>
  </si>
  <si>
    <t>marko@kiosk24.hr</t>
  </si>
  <si>
    <t>KERA TERM trgovina d.o.o.</t>
  </si>
  <si>
    <t>https://kera-term.hr/</t>
  </si>
  <si>
    <t>info@kera-term.hr</t>
  </si>
  <si>
    <t>42570728116</t>
  </si>
  <si>
    <t>Jadranska avenija 9, 10020 Zagreb</t>
  </si>
  <si>
    <t>Silvija</t>
  </si>
  <si>
    <t>Werner</t>
  </si>
  <si>
    <t>silvija.werner@kera-term.hr</t>
  </si>
  <si>
    <t>Barbara</t>
  </si>
  <si>
    <t>Gudeljević</t>
  </si>
  <si>
    <t>barbara@kera-term.hr</t>
  </si>
  <si>
    <t>Agro Simpa d.o.o.</t>
  </si>
  <si>
    <t>https://www.pcelarska-oprema.hr/</t>
  </si>
  <si>
    <t>info@pcelarska-oprema.hr</t>
  </si>
  <si>
    <t>75644713167</t>
  </si>
  <si>
    <t>Novoselska 169B,44000 Sisak</t>
  </si>
  <si>
    <t>Bajić</t>
  </si>
  <si>
    <t>matija@pinuspinea-digital.com</t>
  </si>
  <si>
    <t>Dante d.o.o.</t>
  </si>
  <si>
    <t>https://antikvarijat-libar.com/</t>
  </si>
  <si>
    <t>info@antikvarijat-libar.com</t>
  </si>
  <si>
    <t>20816309823</t>
  </si>
  <si>
    <t>Županijska ulica 17, 31000 Osijek</t>
  </si>
  <si>
    <t>Vukas</t>
  </si>
  <si>
    <t>bojan.vukas@antikvarijat-libar.com</t>
  </si>
  <si>
    <t>LJEKARNE PLANTAK</t>
  </si>
  <si>
    <t>www.ljekarne-plantak.hr</t>
  </si>
  <si>
    <t>info@ljekarne-plantak.hr</t>
  </si>
  <si>
    <t>54461868279</t>
  </si>
  <si>
    <t>Bana Jelačića 8, 33520 Slatina</t>
  </si>
  <si>
    <t>Kotur</t>
  </si>
  <si>
    <t>vanja.kotur@gmail.com</t>
  </si>
  <si>
    <t>Brza Distribucija</t>
  </si>
  <si>
    <t>https://www.wineandmore.com/</t>
  </si>
  <si>
    <t>info@wineandmore.com</t>
  </si>
  <si>
    <t>34663356587</t>
  </si>
  <si>
    <t>Oreškovićeva ulica 8/1, 10000 Zagreb</t>
  </si>
  <si>
    <t>Kovačević</t>
  </si>
  <si>
    <t>ivan@wineandmore.com</t>
  </si>
  <si>
    <t>Drmač</t>
  </si>
  <si>
    <t>dario@wineandmore.com</t>
  </si>
  <si>
    <t>385 99 2100 868</t>
  </si>
  <si>
    <t>CCC Hrvatska d.o.o.</t>
  </si>
  <si>
    <t>https://ccc.eu/hr/</t>
  </si>
  <si>
    <t>info.hr@ccc.eu</t>
  </si>
  <si>
    <t>0800 9933</t>
  </si>
  <si>
    <t>62514668675</t>
  </si>
  <si>
    <t>Roberta Frangeša Mihanovića 9, 10000 Zagreb</t>
  </si>
  <si>
    <t>Matea</t>
  </si>
  <si>
    <t>Zubak</t>
  </si>
  <si>
    <t>matea.zubak@ccc.eu</t>
  </si>
  <si>
    <t>Kozmetika Afrodita d.o.o.</t>
  </si>
  <si>
    <t>https://webshop.afroditacosmetics.com/slo</t>
  </si>
  <si>
    <t>online.shop@kozmetika-afrodita.si</t>
  </si>
  <si>
    <t>SI84727071</t>
  </si>
  <si>
    <t>Kidričeva 54, 3250 Rogaška Slatina</t>
  </si>
  <si>
    <t>Vulević</t>
  </si>
  <si>
    <t>maja.vulevic@kozmetika-afrodita.si</t>
  </si>
  <si>
    <t>IE0516685</t>
  </si>
  <si>
    <t>Herbie j.d.o.o.</t>
  </si>
  <si>
    <t>Www.beherbie.com</t>
  </si>
  <si>
    <t>luka@beherbie.com</t>
  </si>
  <si>
    <t>097 768 9334</t>
  </si>
  <si>
    <t>28646355258</t>
  </si>
  <si>
    <t>Glavna 109, 31303 Podolje</t>
  </si>
  <si>
    <t>Soldo</t>
  </si>
  <si>
    <t>gratis članstvo uz kupnju ulaznica</t>
  </si>
  <si>
    <t>Autoset Turek d.o.o</t>
  </si>
  <si>
    <t>https://top-alati.hr/</t>
  </si>
  <si>
    <t xml:space="preserve">marketing@top-alati.hr
</t>
  </si>
  <si>
    <t>091 4111 902</t>
  </si>
  <si>
    <t>83052447181</t>
  </si>
  <si>
    <t>Ulica kralja Zvonimira 59b, 40323 Prelog</t>
  </si>
  <si>
    <t>Elena</t>
  </si>
  <si>
    <t>Martinčević</t>
  </si>
  <si>
    <t xml:space="preserve">LOVIN D.O.O. </t>
  </si>
  <si>
    <t>www.lovin.hr</t>
  </si>
  <si>
    <t>info@lovin.hr</t>
  </si>
  <si>
    <t>65665375972</t>
  </si>
  <si>
    <t>RIBNIČKA 9, 10000 Zagreb</t>
  </si>
  <si>
    <t>Sladić</t>
  </si>
  <si>
    <t>danijela@lovin.hr</t>
  </si>
  <si>
    <t>Lovinčić</t>
  </si>
  <si>
    <t>ivan@lovin.hr</t>
  </si>
  <si>
    <t>Keindl Sport d.o.o.</t>
  </si>
  <si>
    <t>www.keindl-sport.hr</t>
  </si>
  <si>
    <t>info@keindl-sport.hr</t>
  </si>
  <si>
    <t>385 99 3877 448</t>
  </si>
  <si>
    <t>78356078391</t>
  </si>
  <si>
    <t>Vitezićeva ulica 1a, 10020 Zagreb</t>
  </si>
  <si>
    <t>Jerbić</t>
  </si>
  <si>
    <t>lucija.jerbic@keindl-sport.hr</t>
  </si>
  <si>
    <t>Namještaj Mima d.o.o.</t>
  </si>
  <si>
    <t>https://namjestaj-mima.hr/</t>
  </si>
  <si>
    <t>web.shop@namjestaj-mima.hr</t>
  </si>
  <si>
    <t>052/385-707</t>
  </si>
  <si>
    <t>24769473247</t>
  </si>
  <si>
    <t>Valica 3, 52100 Pula</t>
  </si>
  <si>
    <t>marina.marjanovic@namjestaj-mima.hr</t>
  </si>
  <si>
    <t>HEAD d.o.o.</t>
  </si>
  <si>
    <t>love-lashes.eu</t>
  </si>
  <si>
    <t>info@love-lashes.eu</t>
  </si>
  <si>
    <t>56824485879</t>
  </si>
  <si>
    <t>Bože Starca Jurićeva 13, 51000 Rijeka</t>
  </si>
  <si>
    <t>Iskra</t>
  </si>
  <si>
    <t>denis@love-lashes.eu</t>
  </si>
  <si>
    <t>VINKOPROM D.O.O.</t>
  </si>
  <si>
    <t>www.vinkoprom.com</t>
  </si>
  <si>
    <t>webshop@vinkoprom.com</t>
  </si>
  <si>
    <t>00721719381</t>
  </si>
  <si>
    <t>H.V.HRVATINIĆA 108, 32100 VINKOVCI</t>
  </si>
  <si>
    <t xml:space="preserve">Topić </t>
  </si>
  <si>
    <t>renato.topic@vinkoprom.com</t>
  </si>
  <si>
    <t>Delfin d.o.o.</t>
  </si>
  <si>
    <t>becoolfull.hr</t>
  </si>
  <si>
    <t>info@delfin-zg.hr</t>
  </si>
  <si>
    <t>23524051453</t>
  </si>
  <si>
    <t>Vladimira Novaka 42, 10290 Zaprešić</t>
  </si>
  <si>
    <t>Spajić</t>
  </si>
  <si>
    <t>ivica.spajic@delfin-zg.hr</t>
  </si>
  <si>
    <t>Futura Informatička Tehnologija d.o.o.</t>
  </si>
  <si>
    <t>www.futura-it.hr</t>
  </si>
  <si>
    <t>info@futura-it.hr</t>
  </si>
  <si>
    <t>70113857391</t>
  </si>
  <si>
    <t>Žumberačka 17, 10291 Prudnice</t>
  </si>
  <si>
    <t>Tihomir</t>
  </si>
  <si>
    <t>Stančević</t>
  </si>
  <si>
    <t>futura@futura-it.hr</t>
  </si>
  <si>
    <t>Magdis d.o.o.</t>
  </si>
  <si>
    <t>nesesser.com</t>
  </si>
  <si>
    <t>info@nesesser.com</t>
  </si>
  <si>
    <t>67546850528</t>
  </si>
  <si>
    <t>Augusta Šenoe 37, 10431 Mala Gorica, Sveta Nedelja</t>
  </si>
  <si>
    <t xml:space="preserve">Bruno </t>
  </si>
  <si>
    <t>Pavić</t>
  </si>
  <si>
    <t>Hilding Anders d.o.o.</t>
  </si>
  <si>
    <t>https://hespo.hr/</t>
  </si>
  <si>
    <t>webshop@hespo.hr</t>
  </si>
  <si>
    <t>091 615 2916</t>
  </si>
  <si>
    <t>98594743140</t>
  </si>
  <si>
    <t>Industrijska zona 11, 40323 Prelog</t>
  </si>
  <si>
    <t>Sraka</t>
  </si>
  <si>
    <t>mislav.sraka@hildinganders.com</t>
  </si>
  <si>
    <t>Questus d.o.o.</t>
  </si>
  <si>
    <t>www.autoprikolice.hr</t>
  </si>
  <si>
    <t>info@autoprikolice.hr</t>
  </si>
  <si>
    <t>76410780849</t>
  </si>
  <si>
    <t>Koprivnička ulica 103, 48260 Križevci</t>
  </si>
  <si>
    <t>Siniša</t>
  </si>
  <si>
    <t>Rösler</t>
  </si>
  <si>
    <t>sinisa.rosler@autoprikolice.hr</t>
  </si>
  <si>
    <t>COOL POOL d.o.o.</t>
  </si>
  <si>
    <t>http://www.coolpool.hr/</t>
  </si>
  <si>
    <t xml:space="preserve">info@coolpool.hr </t>
  </si>
  <si>
    <t>58469938489</t>
  </si>
  <si>
    <t>Kroz Smrdečac 31, 21000 Split</t>
  </si>
  <si>
    <t>Stipe</t>
  </si>
  <si>
    <t>Šundov</t>
  </si>
  <si>
    <t>ssundov@gmail.com</t>
  </si>
  <si>
    <t>ŠAreni kutak d.o.o.</t>
  </si>
  <si>
    <t>sarenikutak.hr</t>
  </si>
  <si>
    <t>info@sarenikutak.hr</t>
  </si>
  <si>
    <t>58247194538</t>
  </si>
  <si>
    <t>Kaštelska 30, 40000 Čakovec</t>
  </si>
  <si>
    <t>Prprović</t>
  </si>
  <si>
    <t>Pisalica d.o.o.</t>
  </si>
  <si>
    <t>https://shop.princeza.hr/</t>
  </si>
  <si>
    <t>shop@princeza.hr</t>
  </si>
  <si>
    <t>095 900 3714</t>
  </si>
  <si>
    <t>15498354048</t>
  </si>
  <si>
    <t>Zagrebačka ulica 89, Varaždin</t>
  </si>
  <si>
    <t>Andreja</t>
  </si>
  <si>
    <t>Rambrot Malenica</t>
  </si>
  <si>
    <t>andreja@pisalica.com</t>
  </si>
  <si>
    <t>095 1971 478</t>
  </si>
  <si>
    <t>GLIGORA DELIKATESE d.o.o.</t>
  </si>
  <si>
    <t>https://webshop.gligora.com/</t>
  </si>
  <si>
    <t>webshop@gligora.com</t>
  </si>
  <si>
    <t>31635744688</t>
  </si>
  <si>
    <t>FIGURICA 22  A</t>
  </si>
  <si>
    <t xml:space="preserve">Ivan </t>
  </si>
  <si>
    <t>Kraljić</t>
  </si>
  <si>
    <t>ivan.kraljic@gligora.com</t>
  </si>
  <si>
    <r>
      <rPr>
        <color rgb="FF1155CC"/>
        <sz val="10.0"/>
        <u/>
      </rPr>
      <t>BONAMI.CZ</t>
    </r>
    <r>
      <rPr>
        <color rgb="FF000000"/>
        <sz val="10.0"/>
      </rPr>
      <t>, a.s.</t>
    </r>
  </si>
  <si>
    <t>https://www.bonami.hr/</t>
  </si>
  <si>
    <t>pomoc@bonami.hr</t>
  </si>
  <si>
    <t>24230111</t>
  </si>
  <si>
    <t xml:space="preserve"> Újezd 450/40, </t>
  </si>
  <si>
    <t>Marincic</t>
  </si>
  <si>
    <t>ivana.marincic@bonami.cz</t>
  </si>
  <si>
    <t>KARIKA VIS d.o.o</t>
  </si>
  <si>
    <t>https://cannavis.eu/hr/</t>
  </si>
  <si>
    <t>cannavis@cannavis.eu</t>
  </si>
  <si>
    <t>49710280813</t>
  </si>
  <si>
    <t>Donje Kunjanovo 6</t>
  </si>
  <si>
    <t>Baržić</t>
  </si>
  <si>
    <t>FRIGO-VE d.o.o.</t>
  </si>
  <si>
    <t>http://www.frigo-ve.hr</t>
  </si>
  <si>
    <t>webshop@frigo-ve.hr</t>
  </si>
  <si>
    <t>49978917762</t>
  </si>
  <si>
    <t>Marinići 180</t>
  </si>
  <si>
    <t>Blašković</t>
  </si>
  <si>
    <t>ivan.blaskovic@frigo-ve.hr</t>
  </si>
  <si>
    <t>Nikolina</t>
  </si>
  <si>
    <t>Konestabo</t>
  </si>
  <si>
    <t>nikolina.konestabo@frigo-ve.hr</t>
  </si>
  <si>
    <t>Medikor</t>
  </si>
  <si>
    <t>www.shop-medikor.hr</t>
  </si>
  <si>
    <t>webshop@medikor.hr</t>
  </si>
  <si>
    <t>098 9835 327</t>
  </si>
  <si>
    <t>67863378582</t>
  </si>
  <si>
    <t>Vinkovićeva 3, 10020 Zagreb</t>
  </si>
  <si>
    <t xml:space="preserve">Antonio </t>
  </si>
  <si>
    <t>Ljubić</t>
  </si>
  <si>
    <t>antonio@medikor.hr</t>
  </si>
  <si>
    <t>PINEL KRK doo</t>
  </si>
  <si>
    <t>https://pinel-krk.hr/</t>
  </si>
  <si>
    <t>webshop@pinel-krk.hr</t>
  </si>
  <si>
    <t>6613235433</t>
  </si>
  <si>
    <t>Nenadići 27c, 51500 KRK</t>
  </si>
  <si>
    <t>Kosić</t>
  </si>
  <si>
    <t>damir@pinel-krk.hr</t>
  </si>
  <si>
    <t>Vlasta</t>
  </si>
  <si>
    <t>Stankić</t>
  </si>
  <si>
    <t>vlasta@pinel-krk.hr</t>
  </si>
  <si>
    <t>TERRA VIS d.o.o.</t>
  </si>
  <si>
    <t>www.biovrece.com</t>
  </si>
  <si>
    <t>info@terravis.hr</t>
  </si>
  <si>
    <t>385 99 4512 020</t>
  </si>
  <si>
    <t>59812916438</t>
  </si>
  <si>
    <t>Istarska 12a, 40 000 Čakovec</t>
  </si>
  <si>
    <t>Krušić</t>
  </si>
  <si>
    <t>krusicb@terravis.hr</t>
  </si>
  <si>
    <t>Ghetaldus optika d.d.</t>
  </si>
  <si>
    <t>ghetaldus.hr</t>
  </si>
  <si>
    <t>shop@ghetaldus.hr</t>
  </si>
  <si>
    <t>8171316035</t>
  </si>
  <si>
    <t>Ilica 56, 10000 Zagreb</t>
  </si>
  <si>
    <t>Kristian</t>
  </si>
  <si>
    <t>Rukavec</t>
  </si>
  <si>
    <t>kristian.rukavec@ghetaldus.hr</t>
  </si>
  <si>
    <t>Termometal d.o.o.</t>
  </si>
  <si>
    <t>www.termometal.hr</t>
  </si>
  <si>
    <t>prodaja@termometal.hr</t>
  </si>
  <si>
    <t>65324927134</t>
  </si>
  <si>
    <t>Industrijska ulica 3, 43280 Garešnica</t>
  </si>
  <si>
    <t>Miščević</t>
  </si>
  <si>
    <t>zoran@termometal.hr</t>
  </si>
  <si>
    <t>ELDA d.o.o.</t>
  </si>
  <si>
    <t>https://www.eliquid-shop.com</t>
  </si>
  <si>
    <t>elda@elda.hr</t>
  </si>
  <si>
    <t>79240374283</t>
  </si>
  <si>
    <t>Zrinskih 62, 35400 Nova Gradiška</t>
  </si>
  <si>
    <t>Davorka</t>
  </si>
  <si>
    <t>Marenić</t>
  </si>
  <si>
    <t>davorka@elda.hr</t>
  </si>
  <si>
    <t>Argentum d.o.o.</t>
  </si>
  <si>
    <t>http://www.argentum.hr/</t>
  </si>
  <si>
    <t>info@argentum.com.hr</t>
  </si>
  <si>
    <t>385 (0)1 6418 380</t>
  </si>
  <si>
    <t>14922557579</t>
  </si>
  <si>
    <t>Klaićeva 23, Zagreb</t>
  </si>
  <si>
    <t xml:space="preserve">Hrvoje </t>
  </si>
  <si>
    <t>Fligić</t>
  </si>
  <si>
    <t>hrvoje.fligic@gold-partner.eu</t>
  </si>
  <si>
    <t>385 98 350725</t>
  </si>
  <si>
    <t>BIOVITALIS d.o.o.</t>
  </si>
  <si>
    <t>https://biovitalis.hr/</t>
  </si>
  <si>
    <t>webshop@biovitalis.hr</t>
  </si>
  <si>
    <t>23575522404</t>
  </si>
  <si>
    <t>Ulica Franje Bužanića 5 Turčin</t>
  </si>
  <si>
    <t>Zagorec Kolednjak</t>
  </si>
  <si>
    <t>biovitalis@biovitalis.hr</t>
  </si>
  <si>
    <t>Vermiscript</t>
  </si>
  <si>
    <t>webshop je u izradi</t>
  </si>
  <si>
    <t>marko_stajcer@hotmail.com</t>
  </si>
  <si>
    <t>3009499406</t>
  </si>
  <si>
    <t>Recica 113</t>
  </si>
  <si>
    <t>Stajcer</t>
  </si>
  <si>
    <t>Primat Logistika d.o.o.</t>
  </si>
  <si>
    <t>https://www.primatlogistika.hr/</t>
  </si>
  <si>
    <t>marketing@primatlogistika.hr</t>
  </si>
  <si>
    <t>64645054565</t>
  </si>
  <si>
    <t>Zastavnice 11, 10251 Hrvatski Leskovac</t>
  </si>
  <si>
    <t>Petar</t>
  </si>
  <si>
    <t>Anić</t>
  </si>
  <si>
    <t>petar.anic@primatlogistika.hr</t>
  </si>
  <si>
    <t>Tvornica tekstila Trgovišće d.o.o.</t>
  </si>
  <si>
    <t>merla.hr</t>
  </si>
  <si>
    <t>mario.popic@ttt.hr</t>
  </si>
  <si>
    <t>18749574621</t>
  </si>
  <si>
    <t>Dr. Stanka Pinjuha 16</t>
  </si>
  <si>
    <t>Popić</t>
  </si>
  <si>
    <t>Magazin Računalni Sistemi d.o.o.</t>
  </si>
  <si>
    <t>www.PCshop.hr</t>
  </si>
  <si>
    <t>info@pcshop.hr</t>
  </si>
  <si>
    <t>098/623-110</t>
  </si>
  <si>
    <t>91367259285</t>
  </si>
  <si>
    <t>Prekratova 41, 10000 Zagreb</t>
  </si>
  <si>
    <t>Petrić</t>
  </si>
  <si>
    <t>Pool shop d.o.o.</t>
  </si>
  <si>
    <t>https://poolshop.hr/</t>
  </si>
  <si>
    <t>info@poolshop.hr</t>
  </si>
  <si>
    <t>29567429895</t>
  </si>
  <si>
    <t>Grabova 13, Split</t>
  </si>
  <si>
    <t>Zec</t>
  </si>
  <si>
    <t>BRIOVITA d.o.o.</t>
  </si>
  <si>
    <t>https://www.beautypharmacy.hr/hr/</t>
  </si>
  <si>
    <t>webshop@beautypharmacy.hr</t>
  </si>
  <si>
    <t>82581999045</t>
  </si>
  <si>
    <t>PILE 1/1 ZAGREB 10000</t>
  </si>
  <si>
    <t>Jasmina</t>
  </si>
  <si>
    <t>Bajković</t>
  </si>
  <si>
    <t>jasmina.bajkovic@briovita.hr</t>
  </si>
  <si>
    <t>Media-Commerce d.o.o.</t>
  </si>
  <si>
    <t>www.magicbaby.hr</t>
  </si>
  <si>
    <t>info@media-commerce.com.hr</t>
  </si>
  <si>
    <t>385 91 2327386</t>
  </si>
  <si>
    <t>98602542829</t>
  </si>
  <si>
    <t>Majstorska 5</t>
  </si>
  <si>
    <t>Obradović</t>
  </si>
  <si>
    <t>bojan@media-commerce.com.hr</t>
  </si>
  <si>
    <t>Web auto oprema d.o.o.</t>
  </si>
  <si>
    <t>https://www.motostop.hr/</t>
  </si>
  <si>
    <t>moto@autokreso.hr</t>
  </si>
  <si>
    <t>098 9474 812</t>
  </si>
  <si>
    <t>96655636580</t>
  </si>
  <si>
    <t>Fraterščica 152, 10000 Zagreb</t>
  </si>
  <si>
    <t>Ana-Marija</t>
  </si>
  <si>
    <t>Grzela</t>
  </si>
  <si>
    <t>ana-marija.grzela@autokreso.hr</t>
  </si>
  <si>
    <t>Oktan Nautika d.o.o.</t>
  </si>
  <si>
    <t>https://sjajno.hr/</t>
  </si>
  <si>
    <t>prodaja@sjajno.hr</t>
  </si>
  <si>
    <t>35058020452</t>
  </si>
  <si>
    <t>KOMFORNO d.o.o.</t>
  </si>
  <si>
    <t>www.komforno.hr</t>
  </si>
  <si>
    <t>info@komforno.hr</t>
  </si>
  <si>
    <t>0981644604</t>
  </si>
  <si>
    <t>72525524220</t>
  </si>
  <si>
    <t>E. i G. Legenstein 2</t>
  </si>
  <si>
    <t>Šilec</t>
  </si>
  <si>
    <t>marko.silec@komforno.hr</t>
  </si>
  <si>
    <t>Bits And Bytes d.o.o.</t>
  </si>
  <si>
    <t>www.racunala.hr</t>
  </si>
  <si>
    <t>prodaja@racunala.hr</t>
  </si>
  <si>
    <t>17235438781</t>
  </si>
  <si>
    <t>Ulica A. Harambašića 14</t>
  </si>
  <si>
    <t>info@bitsandbytes.hr</t>
  </si>
  <si>
    <t>UNIKOMERC - UVOZ d.o.o.</t>
  </si>
  <si>
    <t>https://unikomerc-uvoz.hr/</t>
  </si>
  <si>
    <t>webshop@unikomerc-uvoz.hr</t>
  </si>
  <si>
    <t>098323734</t>
  </si>
  <si>
    <t>59833106486</t>
  </si>
  <si>
    <t>Amruševa 10</t>
  </si>
  <si>
    <t>Brebrić</t>
  </si>
  <si>
    <t>zbrebric@unikomerc-uvoz.hr</t>
  </si>
  <si>
    <t>COCO kids, obrt za trgovinu, vl. Bruno Dragčević</t>
  </si>
  <si>
    <t>https://cocokids.hr/</t>
  </si>
  <si>
    <t>brunodragcevic@gmail.com</t>
  </si>
  <si>
    <t>0995482137</t>
  </si>
  <si>
    <t>01391474210</t>
  </si>
  <si>
    <t>Naselje Tomeki 1, 49210 Zabok</t>
  </si>
  <si>
    <t>Dragčević</t>
  </si>
  <si>
    <t>Galeb d.d.</t>
  </si>
  <si>
    <t>https://shop.galeb.hr/</t>
  </si>
  <si>
    <t>webshop@galeb.hr</t>
  </si>
  <si>
    <t>0917977053</t>
  </si>
  <si>
    <t>74554924553</t>
  </si>
  <si>
    <t>Punta 6, Omiš</t>
  </si>
  <si>
    <t>Tina</t>
  </si>
  <si>
    <t>Gotovac</t>
  </si>
  <si>
    <t>tina.gotovac@galeb.hr</t>
  </si>
  <si>
    <t>Fero-Term d.o.o.</t>
  </si>
  <si>
    <t>www.fero-term.hr</t>
  </si>
  <si>
    <t>webshop@fero-term.hr</t>
  </si>
  <si>
    <t>0997459628</t>
  </si>
  <si>
    <t>69638067216</t>
  </si>
  <si>
    <t>Gospodarska 17, Donji Stupnik</t>
  </si>
  <si>
    <t>Cvjetković</t>
  </si>
  <si>
    <t>lucija.cvjetkovic@fero-term.hr</t>
  </si>
  <si>
    <t>nije se javila 12.2.</t>
  </si>
  <si>
    <t>dm-drogerie markt d.o.o.</t>
  </si>
  <si>
    <t>https://www.dm.hr</t>
  </si>
  <si>
    <t>info@dm.hr</t>
  </si>
  <si>
    <t>0911110135</t>
  </si>
  <si>
    <t>94124811986</t>
  </si>
  <si>
    <t>Kovinska 5a, 10090 Zagreb</t>
  </si>
  <si>
    <t>Sedlar</t>
  </si>
  <si>
    <t>Danijela.Sedlar@dm.hr</t>
  </si>
  <si>
    <t>Daria</t>
  </si>
  <si>
    <t>Lakić</t>
  </si>
  <si>
    <t>daria.lakic@dm.hr</t>
  </si>
  <si>
    <t>Anić Holding Plus</t>
  </si>
  <si>
    <t>https://anic-holding.com/web-shop/</t>
  </si>
  <si>
    <t>zrinka@anic-holding.com</t>
  </si>
  <si>
    <t>0913622869</t>
  </si>
  <si>
    <t>61238079664</t>
  </si>
  <si>
    <t>Trg bana Josipa Jelačića 1</t>
  </si>
  <si>
    <t>Zrinka</t>
  </si>
  <si>
    <t>DUMBBELL d.o.o.</t>
  </si>
  <si>
    <t>https://oprema.fit/</t>
  </si>
  <si>
    <t>info@oprema.fit</t>
  </si>
  <si>
    <t>0953778375</t>
  </si>
  <si>
    <t>19934180936</t>
  </si>
  <si>
    <t>VII Južna Obala 1a</t>
  </si>
  <si>
    <t>Margarita</t>
  </si>
  <si>
    <t>Ryszka</t>
  </si>
  <si>
    <t>prodaja@oprema.fit</t>
  </si>
  <si>
    <t>Orbico doo</t>
  </si>
  <si>
    <t>www.fabuspot.hr</t>
  </si>
  <si>
    <t>info@fabuspot.hr</t>
  </si>
  <si>
    <t>85611744662</t>
  </si>
  <si>
    <t>Koturaška cesta 69</t>
  </si>
  <si>
    <t>Penović Salusinszky</t>
  </si>
  <si>
    <t>zrinka.penovic@orbico.com</t>
  </si>
  <si>
    <t>ALETA d.o.o.</t>
  </si>
  <si>
    <t>https://www.aleta.hr/hr</t>
  </si>
  <si>
    <t>prodaja@aleta.hr</t>
  </si>
  <si>
    <t>0912208193</t>
  </si>
  <si>
    <t>40382428949</t>
  </si>
  <si>
    <t>Tribanjska ulica 2</t>
  </si>
  <si>
    <t>Mladen</t>
  </si>
  <si>
    <t>Aleta</t>
  </si>
  <si>
    <t>mladen.aleta@aleta.hr</t>
  </si>
  <si>
    <t>nije se javila 12.2.
prešli u standard članstvo 10/25</t>
  </si>
  <si>
    <t>Mobis electronic d.o.o.</t>
  </si>
  <si>
    <t>https://www.mobis.hr/</t>
  </si>
  <si>
    <t>info@mobis.hr</t>
  </si>
  <si>
    <t>0038598412996</t>
  </si>
  <si>
    <t>10765466090</t>
  </si>
  <si>
    <t>Radnička cesta 1a</t>
  </si>
  <si>
    <t>Veronika</t>
  </si>
  <si>
    <t>Ercek</t>
  </si>
  <si>
    <t>veronika.ercek@mobis.hr</t>
  </si>
  <si>
    <t>Knežić</t>
  </si>
  <si>
    <t>hrvoje.knezic@mobis.hr</t>
  </si>
  <si>
    <t>Matej odlazi za mj dana, javiti će nam kontakt druge osobe da se organizira online call i predstavi Safe Shop</t>
  </si>
  <si>
    <t>Maras d.o.o</t>
  </si>
  <si>
    <t>https://maras.hr/</t>
  </si>
  <si>
    <t>webshop@maras.hr</t>
  </si>
  <si>
    <t>01/6386 204</t>
  </si>
  <si>
    <t>HR76656714181</t>
  </si>
  <si>
    <t>Pejaković</t>
  </si>
  <si>
    <t>matej.pejakovic@maras.hr</t>
  </si>
  <si>
    <t>Norrdeco d.o.o.</t>
  </si>
  <si>
    <t>norrdeco.com (u izradi)</t>
  </si>
  <si>
    <t>maja@norrdeco.com</t>
  </si>
  <si>
    <t>0916192492</t>
  </si>
  <si>
    <t>83165607781</t>
  </si>
  <si>
    <t>Španidiga 3, 52210 Rovinj</t>
  </si>
  <si>
    <t>Bogicevic</t>
  </si>
  <si>
    <t>igor@iggy.se</t>
  </si>
  <si>
    <t>Novi Forum d.o.o</t>
  </si>
  <si>
    <t>https://www.moduldevet.com</t>
  </si>
  <si>
    <t>prodaja@modulosam.com</t>
  </si>
  <si>
    <t>0981929620</t>
  </si>
  <si>
    <t>92006302133</t>
  </si>
  <si>
    <t>Roberta Frangeša Mihanovića 6</t>
  </si>
  <si>
    <t>Pleše</t>
  </si>
  <si>
    <t>bplese@gmail.com</t>
  </si>
  <si>
    <t>Nulti broj j.d.o.o.</t>
  </si>
  <si>
    <t>www.merch.hr</t>
  </si>
  <si>
    <t>maroje.sabljic@gmail.com</t>
  </si>
  <si>
    <t>091 685 9677</t>
  </si>
  <si>
    <t>73463172065</t>
  </si>
  <si>
    <t>Avenija Dubrovnik 15/12, Zagreb</t>
  </si>
  <si>
    <t>Maroje</t>
  </si>
  <si>
    <t>Sabljić</t>
  </si>
  <si>
    <t>ZU Ljekarne Švaljek</t>
  </si>
  <si>
    <t>https://eljekarna24.hr/</t>
  </si>
  <si>
    <t>info@eljekarna24.hr</t>
  </si>
  <si>
    <t>091/2195-345</t>
  </si>
  <si>
    <t>55832250129</t>
  </si>
  <si>
    <t>Kralja Tomislava 24, 49246 Marija Bistrica</t>
  </si>
  <si>
    <t>Medenjak</t>
  </si>
  <si>
    <t>mirjana.medenjak@salvushealth.com</t>
  </si>
  <si>
    <t>EURO-K D.O.O</t>
  </si>
  <si>
    <t>www.zdravdorucak.hr</t>
  </si>
  <si>
    <t>ljubo.krajnovic@gmail.com</t>
  </si>
  <si>
    <t>0911234512</t>
  </si>
  <si>
    <t>21612845903</t>
  </si>
  <si>
    <t>Lopatinečka ulica 6</t>
  </si>
  <si>
    <t>Ljubo</t>
  </si>
  <si>
    <t>Krajnović</t>
  </si>
  <si>
    <t>Hrvatska Lutrija d.o.o.</t>
  </si>
  <si>
    <t>https://www.lutrija.hr/</t>
  </si>
  <si>
    <t>mateja.gabor@lutrija.hr</t>
  </si>
  <si>
    <t>0916230472</t>
  </si>
  <si>
    <t>27905228158</t>
  </si>
  <si>
    <t>Ulica grada Vukovara 72, Zagreb</t>
  </si>
  <si>
    <t>Mateja</t>
  </si>
  <si>
    <t>Gabor</t>
  </si>
  <si>
    <t>Bar doo</t>
  </si>
  <si>
    <t>https://kapitalac.com/</t>
  </si>
  <si>
    <t>darko@kapitalac.com</t>
  </si>
  <si>
    <t>031650983</t>
  </si>
  <si>
    <t>​82698464257</t>
  </si>
  <si>
    <t>Vijenac 107 brigade HV 1.</t>
  </si>
  <si>
    <t>Darko</t>
  </si>
  <si>
    <t>Barić</t>
  </si>
  <si>
    <t>Noelle d.o.o.</t>
  </si>
  <si>
    <t>www.noellebrush.com</t>
  </si>
  <si>
    <t>klara@noellebrush.com</t>
  </si>
  <si>
    <t>099 49 75 961</t>
  </si>
  <si>
    <t>87410410340</t>
  </si>
  <si>
    <t>Nova ves 45/1</t>
  </si>
  <si>
    <t>Klara</t>
  </si>
  <si>
    <t>Banek</t>
  </si>
  <si>
    <t>MOBOS d.o.o.</t>
  </si>
  <si>
    <t>https://www.mobosshop.hr</t>
  </si>
  <si>
    <t>info@mobosshop.hr</t>
  </si>
  <si>
    <t>=+38631442667</t>
  </si>
  <si>
    <t>SI80025048</t>
  </si>
  <si>
    <t>Dunajska cesta 391A Ljubljana</t>
  </si>
  <si>
    <t>Vesna</t>
  </si>
  <si>
    <t>Tadić</t>
  </si>
  <si>
    <t>vesna@tadic.si
info@mobos.si</t>
  </si>
  <si>
    <t>Loella d.o.o.</t>
  </si>
  <si>
    <t>kofezita.hr</t>
  </si>
  <si>
    <t>mihaela@loella.hr</t>
  </si>
  <si>
    <t>0981393645</t>
  </si>
  <si>
    <t>48710313045</t>
  </si>
  <si>
    <t>Poljski put I 8, Osijek</t>
  </si>
  <si>
    <t>Mihaela</t>
  </si>
  <si>
    <t>Lošonc Međimorec</t>
  </si>
  <si>
    <t>Valentino</t>
  </si>
  <si>
    <t>valentino@vallic.com</t>
  </si>
  <si>
    <t xml:space="preserve">NATURA VITA LUKA d.o.o.
</t>
  </si>
  <si>
    <t>https://www.naturavita.hr/</t>
  </si>
  <si>
    <t>info@naturavita.hr</t>
  </si>
  <si>
    <t>86554606430</t>
  </si>
  <si>
    <t xml:space="preserve"> Kašinska cesta 9, 10360 Sesvete</t>
  </si>
  <si>
    <t>Gazdek</t>
  </si>
  <si>
    <t>andreja.gazdek@naturavita.hr</t>
  </si>
  <si>
    <t>certifikacija odrađena</t>
  </si>
  <si>
    <t>ARKOR TRGOVINA d.o.o.</t>
  </si>
  <si>
    <t>www.arkor.hr</t>
  </si>
  <si>
    <t>komercijala@arkor.hr</t>
  </si>
  <si>
    <t>098819518</t>
  </si>
  <si>
    <t>67116932472</t>
  </si>
  <si>
    <t>Donji Vinjani 185</t>
  </si>
  <si>
    <t>Pojatina</t>
  </si>
  <si>
    <t>pojatinajosip@gmail.com</t>
  </si>
  <si>
    <t>Iris Illyrica obrt za intelektualne usluge i trgovinu</t>
  </si>
  <si>
    <t>www.irisillyrica.com</t>
  </si>
  <si>
    <t>info@irisillyrica.com</t>
  </si>
  <si>
    <t>0998023855</t>
  </si>
  <si>
    <t>77735338649</t>
  </si>
  <si>
    <t>Goranska ulica 20a</t>
  </si>
  <si>
    <t>Glavaš Bakija</t>
  </si>
  <si>
    <t>iris.illyrica.books@gmail.com</t>
  </si>
  <si>
    <t>Socijalna zadruga Humana Nova</t>
  </si>
  <si>
    <t>https://humananova.org/</t>
  </si>
  <si>
    <t>webshop@humananova.org</t>
  </si>
  <si>
    <t>27711345503</t>
  </si>
  <si>
    <t>Ulica žrtava fašizma 3, 40000 Čakovec</t>
  </si>
  <si>
    <t>Mirela</t>
  </si>
  <si>
    <t>Pintarić</t>
  </si>
  <si>
    <t>pintaric.mirela@gmail.com</t>
  </si>
  <si>
    <t>Modna kuća Mona</t>
  </si>
  <si>
    <t>www.monaonline.com</t>
  </si>
  <si>
    <t>online@mona.hr</t>
  </si>
  <si>
    <t>063571283</t>
  </si>
  <si>
    <t>83840734509</t>
  </si>
  <si>
    <t>Medvedgradska ulica 49, 10000 Zagreb</t>
  </si>
  <si>
    <t>Buha</t>
  </si>
  <si>
    <t>sonja.buha@mona.rs
online@mona.hr</t>
  </si>
  <si>
    <t>Start CBD</t>
  </si>
  <si>
    <t>www.verbum.hr</t>
  </si>
  <si>
    <t>verbum@verbum.hr</t>
  </si>
  <si>
    <t>098 634 916</t>
  </si>
  <si>
    <t>49355429927</t>
  </si>
  <si>
    <t>Sinjska 2</t>
  </si>
  <si>
    <t>Natalija</t>
  </si>
  <si>
    <t>Livajić</t>
  </si>
  <si>
    <t>natalija.livajic@verbum.hr</t>
  </si>
  <si>
    <t>26.01.1980.</t>
  </si>
  <si>
    <t>https://startcbd.eu/</t>
  </si>
  <si>
    <t>ivan@startcbd.eu</t>
  </si>
  <si>
    <t>=+385977668061</t>
  </si>
  <si>
    <t>58615427252</t>
  </si>
  <si>
    <t>Biljevec 76, 42243 Maruševec, Hrvatska</t>
  </si>
  <si>
    <t>Pikija</t>
  </si>
  <si>
    <t>Mirakul d.o.o.</t>
  </si>
  <si>
    <t>www.mirakul.com.hr</t>
  </si>
  <si>
    <t>info@mirakul.com.hr</t>
  </si>
  <si>
    <t>87648764916</t>
  </si>
  <si>
    <t>Jug II 10, Prelog</t>
  </si>
  <si>
    <t>Frančić</t>
  </si>
  <si>
    <t>prodaja@mirakul.com.hr</t>
  </si>
  <si>
    <t xml:space="preserve">Erika </t>
  </si>
  <si>
    <t>098/389-432</t>
  </si>
  <si>
    <t>Luminus Mod d.o.o.</t>
  </si>
  <si>
    <t>www.hugyourlife.eu</t>
  </si>
  <si>
    <t>info@luminusmod.hr</t>
  </si>
  <si>
    <t>0912806328</t>
  </si>
  <si>
    <t>94881363133</t>
  </si>
  <si>
    <t>Dankovečka 12, Zagreb</t>
  </si>
  <si>
    <t>Alan</t>
  </si>
  <si>
    <t>Šerbinek</t>
  </si>
  <si>
    <t>Naprijed Commerce</t>
  </si>
  <si>
    <t>u izradi, tvrtka Shipshape zadužena za isti</t>
  </si>
  <si>
    <t>istanic@naprijed.com.hr</t>
  </si>
  <si>
    <t>016622420</t>
  </si>
  <si>
    <t>14112477239</t>
  </si>
  <si>
    <t>Barčev trg 16</t>
  </si>
  <si>
    <t>Pipi beverages d.o.o.</t>
  </si>
  <si>
    <t>shop.pipi.com.hr</t>
  </si>
  <si>
    <t>IZBRISANI</t>
  </si>
  <si>
    <t>shop@pipi.com.hr</t>
  </si>
  <si>
    <t>091 512 3189</t>
  </si>
  <si>
    <t>04639062985</t>
  </si>
  <si>
    <t>Stinice 59</t>
  </si>
  <si>
    <t>Primorac</t>
  </si>
  <si>
    <t>tomislav@pipi.com.hr</t>
  </si>
  <si>
    <t>091 2413 227</t>
  </si>
  <si>
    <t>Pirax obrt za informatičke usluge, vl. Matej Franjić</t>
  </si>
  <si>
    <t>https://instrukcijezasve.hr/</t>
  </si>
  <si>
    <t>info@instrukcijezasve.hr</t>
  </si>
  <si>
    <t>0989302125</t>
  </si>
  <si>
    <t>20236919651</t>
  </si>
  <si>
    <t>Mirna 9</t>
  </si>
  <si>
    <t>Franjić</t>
  </si>
  <si>
    <t>JPK Trading Kft</t>
  </si>
  <si>
    <t>www.cosori.hu / www.cosori.hr</t>
  </si>
  <si>
    <t>adam.jpktrading@gmail.com</t>
  </si>
  <si>
    <t>HU26547905</t>
  </si>
  <si>
    <t>Széchenyi u. 218 Újfehértó, 4244 Hungary</t>
  </si>
  <si>
    <t>szilvia.hegyi@jpktrading.hu</t>
  </si>
  <si>
    <t>rekao je da će me kolegica nazvati koja se bavi webshopom</t>
  </si>
  <si>
    <t>Hobi dom d.o.o.</t>
  </si>
  <si>
    <t>https://bauweb.hr/</t>
  </si>
  <si>
    <t>info@bauweb.hr</t>
  </si>
  <si>
    <t>=+385976245250</t>
  </si>
  <si>
    <t>38180056571</t>
  </si>
  <si>
    <t>Ivana Mažuranića 11, Tenja</t>
  </si>
  <si>
    <t>Momćilović</t>
  </si>
  <si>
    <t>nenad@hobidom.hr</t>
  </si>
  <si>
    <t>M.A.I.R.d.o.o</t>
  </si>
  <si>
    <t>sape.hr</t>
  </si>
  <si>
    <t>marijan.sokacic@gmail.com</t>
  </si>
  <si>
    <t>098278531</t>
  </si>
  <si>
    <t>77004483342</t>
  </si>
  <si>
    <t>Bolnicka 96, 96</t>
  </si>
  <si>
    <t>Marijan</t>
  </si>
  <si>
    <t>Sokacic</t>
  </si>
  <si>
    <t>marijan.sokacic@gmail.com, marijan@sape.hr</t>
  </si>
  <si>
    <t>certifikacija poslana 17.2.</t>
  </si>
  <si>
    <t>inexall d.o.o.</t>
  </si>
  <si>
    <t>www.maximalium.hr</t>
  </si>
  <si>
    <t>ured@inexall.com</t>
  </si>
  <si>
    <t>0958566607</t>
  </si>
  <si>
    <t>73509591502</t>
  </si>
  <si>
    <t>fallerovo setaliste 22</t>
  </si>
  <si>
    <t>Hajsan</t>
  </si>
  <si>
    <t>suzana.hajsan@inexall.com</t>
  </si>
  <si>
    <t>SILBERMOOS GmbH</t>
  </si>
  <si>
    <t>www.silbermoos.de</t>
  </si>
  <si>
    <t>damir.prugovecki@silbermoos.de</t>
  </si>
  <si>
    <t>0976259529</t>
  </si>
  <si>
    <t>DE319841656</t>
  </si>
  <si>
    <t>Lindenstr. 15</t>
  </si>
  <si>
    <t>Prugovecki</t>
  </si>
  <si>
    <t>Medicpro d.o.o.</t>
  </si>
  <si>
    <t>https://medicpro.hr/</t>
  </si>
  <si>
    <t>info@medicpro.hr</t>
  </si>
  <si>
    <t>385 (0) 40 314 407</t>
  </si>
  <si>
    <t xml:space="preserve"> 87488264639</t>
  </si>
  <si>
    <t>Carinarski odvojak 4, Čakovec</t>
  </si>
  <si>
    <t xml:space="preserve">Rosana </t>
  </si>
  <si>
    <t>Novak</t>
  </si>
  <si>
    <t>rosana@medicpro.hr</t>
  </si>
  <si>
    <t>098 935 3815</t>
  </si>
  <si>
    <t>12.10.1993.</t>
  </si>
  <si>
    <t>Draško</t>
  </si>
  <si>
    <t>Jambrečić</t>
  </si>
  <si>
    <t xml:space="preserve"> 040 314 407</t>
  </si>
  <si>
    <t>https://juicedoctor.eu/</t>
  </si>
  <si>
    <t>support@juicedoctor.eu</t>
  </si>
  <si>
    <t>87488264639</t>
  </si>
  <si>
    <t>- upgradean u punopravno radi dobrog testimoniala 2023
- 2024 se vratio nazad na fizičko</t>
  </si>
  <si>
    <t>Numex j.d.o.o.</t>
  </si>
  <si>
    <t>https://www.cbm-store.com/</t>
  </si>
  <si>
    <t>info@cbm-store.com</t>
  </si>
  <si>
    <t>0952012002</t>
  </si>
  <si>
    <t>54713203319</t>
  </si>
  <si>
    <t>Ronis d.o.o.</t>
  </si>
  <si>
    <t>https://www.ronis.hr/</t>
  </si>
  <si>
    <t>lana@ronis.hr</t>
  </si>
  <si>
    <t>040396524</t>
  </si>
  <si>
    <t>21720748086</t>
  </si>
  <si>
    <t>Josipa Kozarca 1/A, 40000 Čakovec</t>
  </si>
  <si>
    <t>Lana</t>
  </si>
  <si>
    <t>Vinko</t>
  </si>
  <si>
    <t>Đenifer</t>
  </si>
  <si>
    <t>Raspet</t>
  </si>
  <si>
    <t>PAPIRTRADE MN</t>
  </si>
  <si>
    <t>www.ambalaza-kartonska.com</t>
  </si>
  <si>
    <t>prodaja@ambalaza-kartonska.com</t>
  </si>
  <si>
    <t>098351151</t>
  </si>
  <si>
    <t>88693436605</t>
  </si>
  <si>
    <t>Nikole Širanovića 12</t>
  </si>
  <si>
    <t>Lukić</t>
  </si>
  <si>
    <t>info@papirtrade-mn.hr</t>
  </si>
  <si>
    <t>HIA j.d.o.o.</t>
  </si>
  <si>
    <t>www.hiaworkshop.com</t>
  </si>
  <si>
    <t>workshop@hia.hr</t>
  </si>
  <si>
    <t>0913158880</t>
  </si>
  <si>
    <t>00647397057</t>
  </si>
  <si>
    <t xml:space="preserve"> Franje Fanceva 81, 1. kat, 23 000 Zadar</t>
  </si>
  <si>
    <t>Helena</t>
  </si>
  <si>
    <t>Kolega</t>
  </si>
  <si>
    <t>helena@hia.hr</t>
  </si>
  <si>
    <t>Stipić Radulović</t>
  </si>
  <si>
    <t>ana@hia.hr</t>
  </si>
  <si>
    <t>DIBOT-trade d.o.o.</t>
  </si>
  <si>
    <t xml:space="preserve">www.romobilia.hr </t>
  </si>
  <si>
    <t>info@romobilia.hr</t>
  </si>
  <si>
    <t>0959154469</t>
  </si>
  <si>
    <t>34491909978</t>
  </si>
  <si>
    <t>Jarnovićeva 17c</t>
  </si>
  <si>
    <t>Mirza</t>
  </si>
  <si>
    <t>Botonjić</t>
  </si>
  <si>
    <t>info@dibot-trade.eu</t>
  </si>
  <si>
    <t>Podlasiak Andrzej Cylwik Spółka Komandytowa</t>
  </si>
  <si>
    <t>https://kupaona-rea.hr/</t>
  </si>
  <si>
    <t>anna.glowniak@rea.pl</t>
  </si>
  <si>
    <t xml:space="preserve"> 966-216-01-21</t>
  </si>
  <si>
    <t>ul.Przędzalniana 60 15-688 Białystok</t>
  </si>
  <si>
    <t>Anna</t>
  </si>
  <si>
    <t>Maria Głowniak</t>
  </si>
  <si>
    <t>966-216-01-21</t>
  </si>
  <si>
    <t>22.04.1998.</t>
  </si>
  <si>
    <t>Mikroedra d.o.o.</t>
  </si>
  <si>
    <t>najnaj.eu</t>
  </si>
  <si>
    <t>info@najnaj.eu</t>
  </si>
  <si>
    <t>014822132</t>
  </si>
  <si>
    <t>05257771514</t>
  </si>
  <si>
    <t>Radnička cesta 34a</t>
  </si>
  <si>
    <t>Mihaljevic</t>
  </si>
  <si>
    <t>luka@mikroedra.hr</t>
  </si>
  <si>
    <t>SMART TRADE d.o.o.</t>
  </si>
  <si>
    <t>https://www.bijela-tehnika.hr/</t>
  </si>
  <si>
    <t>info@bijela-tehnika.hr</t>
  </si>
  <si>
    <t>0911234044</t>
  </si>
  <si>
    <t>30398404744</t>
  </si>
  <si>
    <t>Rimski put 11e, 10360 Sesvete</t>
  </si>
  <si>
    <t>Jonas</t>
  </si>
  <si>
    <t>Dičić</t>
  </si>
  <si>
    <t>jdicic@bijela-tehnika.hr</t>
  </si>
  <si>
    <t>https://www.altirand.com/</t>
  </si>
  <si>
    <t>office@altirand.com</t>
  </si>
  <si>
    <t>385 1 61 89 646</t>
  </si>
  <si>
    <t>Area Seven do.o.</t>
  </si>
  <si>
    <t>https://bentastic.hr/</t>
  </si>
  <si>
    <r>
      <rPr>
        <color rgb="FF1155CC"/>
        <u/>
      </rPr>
      <t>info@bentastic.hr</t>
    </r>
  </si>
  <si>
    <t>0915032717</t>
  </si>
  <si>
    <t>17889997159</t>
  </si>
  <si>
    <t>Pijavišće 19e</t>
  </si>
  <si>
    <t>Bosančić</t>
  </si>
  <si>
    <t>ivona@project79.hr</t>
  </si>
  <si>
    <t>50% popust na drugi web</t>
  </si>
  <si>
    <t>Mp-pro d.o.o.</t>
  </si>
  <si>
    <t>mp-pro.hr</t>
  </si>
  <si>
    <t>info@mp-pro.hr</t>
  </si>
  <si>
    <t>0951984978</t>
  </si>
  <si>
    <t>64385892519</t>
  </si>
  <si>
    <t>Nikole Tesle 1b Karanac 31315</t>
  </si>
  <si>
    <t>Pešić</t>
  </si>
  <si>
    <t>mpprodoo@yahoo.com</t>
  </si>
  <si>
    <t>Meridian nautika d.o.o.</t>
  </si>
  <si>
    <t>www.meridian.hr</t>
  </si>
  <si>
    <t>webshop@meridian.hr</t>
  </si>
  <si>
    <t>052428545</t>
  </si>
  <si>
    <t>19399502173</t>
  </si>
  <si>
    <t>Pulska 25</t>
  </si>
  <si>
    <t>Cvitko</t>
  </si>
  <si>
    <t>klara@meridian.hr</t>
  </si>
  <si>
    <t>Bačelić d.o.o.</t>
  </si>
  <si>
    <t>bacelic.hr</t>
  </si>
  <si>
    <r>
      <rPr>
        <color rgb="FF1155CC"/>
        <u/>
      </rPr>
      <t>info@bacelic.hr</t>
    </r>
  </si>
  <si>
    <t>0918808834</t>
  </si>
  <si>
    <t>62969535840</t>
  </si>
  <si>
    <t>Aveniju Večeslava Holjevca 54</t>
  </si>
  <si>
    <t>Bačelić Bumbak</t>
  </si>
  <si>
    <t>ivona@bacelic.hr</t>
  </si>
  <si>
    <t>Facility service d.o.o.</t>
  </si>
  <si>
    <t>advena.hr</t>
  </si>
  <si>
    <t>Doris</t>
  </si>
  <si>
    <t>Živalj</t>
  </si>
  <si>
    <t>doris.zivalj@klimabestshop.com</t>
  </si>
  <si>
    <t>091 212 2014</t>
  </si>
  <si>
    <t>BLUTRONIX d.o.o.</t>
  </si>
  <si>
    <t>https://portafon-shop.hr</t>
  </si>
  <si>
    <t>info@portafon-shop.hr</t>
  </si>
  <si>
    <t>46405604661</t>
  </si>
  <si>
    <t>BARUTANSKI BREG III. 18, 10123 ZAGREB</t>
  </si>
  <si>
    <t>Tino</t>
  </si>
  <si>
    <t>Oreščanin</t>
  </si>
  <si>
    <t>tinoti@gmail.com</t>
  </si>
  <si>
    <t>Informativni centar Mir Međugorje</t>
  </si>
  <si>
    <t>https://medjugorje.store/</t>
  </si>
  <si>
    <t>Vedran</t>
  </si>
  <si>
    <t>Vidović</t>
  </si>
  <si>
    <t>vidovic.vedran@medjugorje.hr</t>
  </si>
  <si>
    <t>chaya technologies plaća</t>
  </si>
  <si>
    <t>PUPPYNATOR, s.r.o.</t>
  </si>
  <si>
    <t>https://www.puppynator.hr</t>
  </si>
  <si>
    <t>helpdesk@puppynator.hr</t>
  </si>
  <si>
    <t>Rastislav</t>
  </si>
  <si>
    <t>Belko</t>
  </si>
  <si>
    <t>info@rastislavbelko.sk</t>
  </si>
  <si>
    <t>poslan mail da se čujemo</t>
  </si>
  <si>
    <t>Stillmark Zagreb d.o.o.</t>
  </si>
  <si>
    <t>https://www.erborian.hr/</t>
  </si>
  <si>
    <t>webshop@erborian.hr</t>
  </si>
  <si>
    <t>014810184</t>
  </si>
  <si>
    <t>54598630910</t>
  </si>
  <si>
    <t xml:space="preserve">Hebrangova 6
</t>
  </si>
  <si>
    <t>Mušicki</t>
  </si>
  <si>
    <t>Marija.Musicki@loccitane.hr</t>
  </si>
  <si>
    <t xml:space="preserve">Bernarda </t>
  </si>
  <si>
    <t>Buden</t>
  </si>
  <si>
    <t>Bernarda.Buden@loccitane.hr</t>
  </si>
  <si>
    <t>INFOS PROMOTION d.o.o.</t>
  </si>
  <si>
    <t>www.hardware.hr</t>
  </si>
  <si>
    <t>info@hardware.hr</t>
  </si>
  <si>
    <t>098 1919 817</t>
  </si>
  <si>
    <t>13160244056</t>
  </si>
  <si>
    <t>Plivska 33, 31000 Osijek</t>
  </si>
  <si>
    <t>Smoljan</t>
  </si>
  <si>
    <t>vedran@infos-osijek.hr</t>
  </si>
  <si>
    <t>11.08.1983</t>
  </si>
  <si>
    <t>jasminat8@gmail.com</t>
  </si>
  <si>
    <t>095 397 5644</t>
  </si>
  <si>
    <t>06.10.1985</t>
  </si>
  <si>
    <t>Shoebox Adria d.o.o.</t>
  </si>
  <si>
    <t>https://www.officeshoes.hr/</t>
  </si>
  <si>
    <t>webshop-prodaja@shoeboxadria.hr</t>
  </si>
  <si>
    <t>12188184888</t>
  </si>
  <si>
    <t>Buzinska cesta 58, 10 010 Zagreb</t>
  </si>
  <si>
    <t>Dominik</t>
  </si>
  <si>
    <t>Ferina</t>
  </si>
  <si>
    <t>dferina@shoeboxadria.hr</t>
  </si>
  <si>
    <t>27.11.1992.</t>
  </si>
  <si>
    <t>š</t>
  </si>
  <si>
    <t>https://www.corner69.hr/</t>
  </si>
  <si>
    <t>info@corner69.hr</t>
  </si>
  <si>
    <t>0800 804 851</t>
  </si>
  <si>
    <t xml:space="preserve">SI21710783
</t>
  </si>
  <si>
    <t>Vnanje Gorice 64, 1351 Brezovica, Slovenija</t>
  </si>
  <si>
    <t>Komac</t>
  </si>
  <si>
    <t>luka@pervisio.com</t>
  </si>
  <si>
    <t>25.10.1991</t>
  </si>
  <si>
    <t>Duraković</t>
  </si>
  <si>
    <t>maja.durakovic@pervisio.com</t>
  </si>
  <si>
    <t>9.8.1989</t>
  </si>
  <si>
    <t>Biovega d.o.o</t>
  </si>
  <si>
    <t>http://www.biobio.hr/</t>
  </si>
  <si>
    <t>info@biobio.hr</t>
  </si>
  <si>
    <t>0994950717</t>
  </si>
  <si>
    <t>84586153335</t>
  </si>
  <si>
    <t>Majstorska 1E Zagreb</t>
  </si>
  <si>
    <t>Hamš</t>
  </si>
  <si>
    <t>m.hams@biovega.hr</t>
  </si>
  <si>
    <t>21.01.1990.</t>
  </si>
  <si>
    <t>m.draganic@biovega.hr</t>
  </si>
  <si>
    <t>Brilad d.o.o</t>
  </si>
  <si>
    <t>http://www.bebastore.hr/</t>
  </si>
  <si>
    <t>brilad@brilad.hr</t>
  </si>
  <si>
    <t>0914001001</t>
  </si>
  <si>
    <t>50490718862</t>
  </si>
  <si>
    <t>Brezinska 5, 10298 Donja Bistra</t>
  </si>
  <si>
    <t>Buntić Banoža</t>
  </si>
  <si>
    <t xml:space="preserve">93443081178
</t>
  </si>
  <si>
    <t>20.11.1992.</t>
  </si>
  <si>
    <t>Ladislav</t>
  </si>
  <si>
    <t>Klenkar</t>
  </si>
  <si>
    <t>ladislav.klenkar@brilad.hr</t>
  </si>
  <si>
    <t>24.11.1987.</t>
  </si>
  <si>
    <t>Polleo Adria d.o.o.</t>
  </si>
  <si>
    <t>https://polleosport.hr/</t>
  </si>
  <si>
    <t>shop@polleosport.hr</t>
  </si>
  <si>
    <t>0800200167</t>
  </si>
  <si>
    <t xml:space="preserve">12791380945
</t>
  </si>
  <si>
    <t>Samoborska cesta 134</t>
  </si>
  <si>
    <t>Šijaković</t>
  </si>
  <si>
    <t>gsijakovic@polleosport.com</t>
  </si>
  <si>
    <t>NB-NET</t>
  </si>
  <si>
    <t>http://www.nbhobby.com/</t>
  </si>
  <si>
    <t>info@nbhobby.com</t>
  </si>
  <si>
    <t>091 624 6229</t>
  </si>
  <si>
    <t xml:space="preserve">07472983582
</t>
  </si>
  <si>
    <t xml:space="preserve">ŠKALINOVA 20, Zagreb
</t>
  </si>
  <si>
    <t>Borčić</t>
  </si>
  <si>
    <t>natalija@nbhobby.com</t>
  </si>
  <si>
    <t>091 59 22 666</t>
  </si>
  <si>
    <t>12.03.1978</t>
  </si>
  <si>
    <t>nije se javio</t>
  </si>
  <si>
    <t>Harvey Norman</t>
  </si>
  <si>
    <t>https://www.harveynorman.hr/</t>
  </si>
  <si>
    <t>info@harveynorman.hr</t>
  </si>
  <si>
    <t xml:space="preserve">0155 66 200
</t>
  </si>
  <si>
    <t>97757193486MB</t>
  </si>
  <si>
    <t>Velimira Škorpika 34, Zagreb</t>
  </si>
  <si>
    <t>Karačić</t>
  </si>
  <si>
    <t>ivan.karacic@harveynorman.hr</t>
  </si>
  <si>
    <t>385 91 617 8744</t>
  </si>
  <si>
    <t>20.02.1992.</t>
  </si>
  <si>
    <t>Butigan</t>
  </si>
  <si>
    <t>ivana.butigan@harveynorman.hr</t>
  </si>
  <si>
    <t>06.10.1987.</t>
  </si>
  <si>
    <t xml:space="preserve">EL-DA
</t>
  </si>
  <si>
    <t>https://el-da.hr/</t>
  </si>
  <si>
    <t>upiti@el-da.hr</t>
  </si>
  <si>
    <t xml:space="preserve">0913339226
</t>
  </si>
  <si>
    <t>59103134617</t>
  </si>
  <si>
    <t>Kralja Tomislava 65a, Bilje 31327</t>
  </si>
  <si>
    <t>Grozdek</t>
  </si>
  <si>
    <t>29.01.1985.</t>
  </si>
  <si>
    <t>Auro Domus d.o.o.</t>
  </si>
  <si>
    <t>http://www.aurodomus.hr/</t>
  </si>
  <si>
    <t>info@aurodomus.org</t>
  </si>
  <si>
    <t xml:space="preserve">0800 7372
</t>
  </si>
  <si>
    <t xml:space="preserve">46688992812
</t>
  </si>
  <si>
    <t>Vjekoslava Spinčića 3/2 Opatija</t>
  </si>
  <si>
    <t>Žic</t>
  </si>
  <si>
    <t>davor.zic@aurodomus.org</t>
  </si>
  <si>
    <t>Aranea maloprodaja d.o.o</t>
  </si>
  <si>
    <t>https://www.igrackedenis.hr/</t>
  </si>
  <si>
    <t>webshop@igrackedenis.hr</t>
  </si>
  <si>
    <t xml:space="preserve">01/6382-385
</t>
  </si>
  <si>
    <t>85821188970</t>
  </si>
  <si>
    <t xml:space="preserve">Borongajska 81a
</t>
  </si>
  <si>
    <t>Ostrovidov</t>
  </si>
  <si>
    <t>tomislav.ostrovidov@gmail.com</t>
  </si>
  <si>
    <t>16.04.1983.</t>
  </si>
  <si>
    <t>josip.kosic@outlook.com</t>
  </si>
  <si>
    <t xml:space="preserve">DFL Adria d.o.o.
</t>
  </si>
  <si>
    <t>https://hop-shop.hr/</t>
  </si>
  <si>
    <t>web@hop-shop.hr</t>
  </si>
  <si>
    <t>099 470 6508</t>
  </si>
  <si>
    <t>26985815884</t>
  </si>
  <si>
    <t>Mauro</t>
  </si>
  <si>
    <t>Matejčić</t>
  </si>
  <si>
    <t>mauro@hop-shop.hr</t>
  </si>
  <si>
    <t>Booster d.o.o</t>
  </si>
  <si>
    <t>https://booster.hr/</t>
  </si>
  <si>
    <t>info@booster.hr</t>
  </si>
  <si>
    <t xml:space="preserve">0912470000
</t>
  </si>
  <si>
    <t>30607407411</t>
  </si>
  <si>
    <t>Remetinečki gaj 27a</t>
  </si>
  <si>
    <t>Alen</t>
  </si>
  <si>
    <t>Majsec</t>
  </si>
  <si>
    <t>alen@titan-razminiranje.hr</t>
  </si>
  <si>
    <t>29.12.1974.</t>
  </si>
  <si>
    <t>Milošević</t>
  </si>
  <si>
    <t>katarina.suman@booster.hr</t>
  </si>
  <si>
    <t>23.11.1990.</t>
  </si>
  <si>
    <t xml:space="preserve">ZU Ljekarne Perak
</t>
  </si>
  <si>
    <t>https://ljekarne-perak.hr/</t>
  </si>
  <si>
    <t>perakljekarne@gmail.com</t>
  </si>
  <si>
    <t>098/656969</t>
  </si>
  <si>
    <t xml:space="preserve">01634935563
</t>
  </si>
  <si>
    <t>R. Hrvatske 38, 34340 Kutjevo</t>
  </si>
  <si>
    <t>Perak</t>
  </si>
  <si>
    <t>ljekarne.perak@optinet.hr</t>
  </si>
  <si>
    <t>21.03.1966.</t>
  </si>
  <si>
    <t>Froh d.o.o.</t>
  </si>
  <si>
    <t>http://www.ehome.hr/</t>
  </si>
  <si>
    <t>info@ehome.hr</t>
  </si>
  <si>
    <t xml:space="preserve">013535982
</t>
  </si>
  <si>
    <t>14636871310</t>
  </si>
  <si>
    <t>Dubrovčan 175a</t>
  </si>
  <si>
    <t>Horvatin</t>
  </si>
  <si>
    <t>danijel@ehome.hr</t>
  </si>
  <si>
    <t>22.07.1980</t>
  </si>
  <si>
    <t>Balaško</t>
  </si>
  <si>
    <t>ivan@ehome.hr</t>
  </si>
  <si>
    <t>28.06.1982</t>
  </si>
  <si>
    <t>MP-PRO d.o.o.</t>
  </si>
  <si>
    <t>https://autooprema.com.hr/</t>
  </si>
  <si>
    <t xml:space="preserve">0953566663
</t>
  </si>
  <si>
    <t>Nikole Tesle 1B</t>
  </si>
  <si>
    <t>markisa_17@yahoo.com</t>
  </si>
  <si>
    <t>08.03.1984.</t>
  </si>
  <si>
    <t xml:space="preserve">imaju safe shop profil, rekla je u 3 mj da implementirati </t>
  </si>
  <si>
    <t>Europa 92 d.o.o</t>
  </si>
  <si>
    <t>http://www.europa92.hr/</t>
  </si>
  <si>
    <t>marketing@europa92.hr</t>
  </si>
  <si>
    <t>385 1 3323 764</t>
  </si>
  <si>
    <t>38824657464</t>
  </si>
  <si>
    <t>Dr. Franje Tuđmana 6, 10431 Sveta Nedelja</t>
  </si>
  <si>
    <t>Salihbašić</t>
  </si>
  <si>
    <t>ecommerce@europa92.hr
marketing@europa92.hr</t>
  </si>
  <si>
    <t>Romana
Josipa Salihbašić</t>
  </si>
  <si>
    <t>marketing@europa92.hr
ecommerce@europa92.hr</t>
  </si>
  <si>
    <t>5.5.1986.</t>
  </si>
  <si>
    <t>zatvaraju shop radi lošeg ponja 2023</t>
  </si>
  <si>
    <t>Creatrix studio d.o.o.</t>
  </si>
  <si>
    <t>hedonist-shop.hr</t>
  </si>
  <si>
    <t>creatrix.croatia@gmail.com</t>
  </si>
  <si>
    <t xml:space="preserve">0994280577
</t>
  </si>
  <si>
    <t>Lašćinska cesta 12, 10000 Zagreb</t>
  </si>
  <si>
    <t>07.12.1986</t>
  </si>
  <si>
    <t>Sandra</t>
  </si>
  <si>
    <t>Štikavac Muhič</t>
  </si>
  <si>
    <t>sandra.stikavac@gmail.com</t>
  </si>
  <si>
    <t>04.07.1984</t>
  </si>
  <si>
    <t>Hrvatska kovnica novca d.o.o.</t>
  </si>
  <si>
    <t>croatianmint.hr</t>
  </si>
  <si>
    <t>prodaja@croatianmint.hr</t>
  </si>
  <si>
    <t>13018705268</t>
  </si>
  <si>
    <t>Svetonedeljska cesta 2</t>
  </si>
  <si>
    <t>Lasić</t>
  </si>
  <si>
    <t>mlasic@croatianmint.hr</t>
  </si>
  <si>
    <t>385 99 497 7125</t>
  </si>
  <si>
    <t>Ela</t>
  </si>
  <si>
    <t>Genc</t>
  </si>
  <si>
    <t>elagenc0712@gmail.com</t>
  </si>
  <si>
    <t>07.12.1983.</t>
  </si>
  <si>
    <t>Terra madre d.o.o.</t>
  </si>
  <si>
    <t>https://www.terramagica.hr/hr/shop/</t>
  </si>
  <si>
    <t>info@terramagica.hr</t>
  </si>
  <si>
    <t>0915143412</t>
  </si>
  <si>
    <t>14953230348</t>
  </si>
  <si>
    <t>Riječka ulica 26, 52420 Buzet</t>
  </si>
  <si>
    <t>Hren</t>
  </si>
  <si>
    <t>info@hren.hr</t>
  </si>
  <si>
    <t>26.09.1985</t>
  </si>
  <si>
    <t>Cossutta</t>
  </si>
  <si>
    <t>cossuttasonja@gmail.com</t>
  </si>
  <si>
    <t>09.06.1987</t>
  </si>
  <si>
    <t>MDM d.o.o.</t>
  </si>
  <si>
    <t>https://www.mdm.hr/</t>
  </si>
  <si>
    <t>web@mdm.hr</t>
  </si>
  <si>
    <t>033727100</t>
  </si>
  <si>
    <t>17029366451</t>
  </si>
  <si>
    <t>Vinka Belobrka 6, Virovitica</t>
  </si>
  <si>
    <t>Šenjug</t>
  </si>
  <si>
    <t>mdmvtc1@gmail.com</t>
  </si>
  <si>
    <t>luka.benkovic@mdm.hr</t>
  </si>
  <si>
    <t>www.oetker-shop.hr</t>
  </si>
  <si>
    <t>bibor@parhelion.hr</t>
  </si>
  <si>
    <t>+385 1 209 4343</t>
  </si>
  <si>
    <t>97370458076</t>
  </si>
  <si>
    <t>Ulica lipa 4 Sveta nedelja</t>
  </si>
  <si>
    <t>25.07.2021.</t>
  </si>
  <si>
    <t xml:space="preserve">nije se javio </t>
  </si>
  <si>
    <t>Mikronis d.o.o.</t>
  </si>
  <si>
    <t>www.mikronis.hr</t>
  </si>
  <si>
    <t>web-prodaja@mikronis.hr</t>
  </si>
  <si>
    <t>013033100</t>
  </si>
  <si>
    <t>59964152545</t>
  </si>
  <si>
    <t xml:space="preserve">Nova cesta 166
</t>
  </si>
  <si>
    <t>Pulfer</t>
  </si>
  <si>
    <t>zlatko.pulfer@mikronis.hr</t>
  </si>
  <si>
    <t>22.02.1982.</t>
  </si>
  <si>
    <t>Gordana</t>
  </si>
  <si>
    <t>Puhelek</t>
  </si>
  <si>
    <t>gordana.puhelek@mikronis.hr</t>
  </si>
  <si>
    <t>Egmont d.o.o.</t>
  </si>
  <si>
    <t>https://shop.egmont.hr//</t>
  </si>
  <si>
    <t>croinfo@egmont.com</t>
  </si>
  <si>
    <t>01 30 40 555</t>
  </si>
  <si>
    <t>52195305652</t>
  </si>
  <si>
    <t>Višnjevac 3, Zagreb</t>
  </si>
  <si>
    <t>Kulić</t>
  </si>
  <si>
    <t>vesna.kulic@egmont.com</t>
  </si>
  <si>
    <t>098 317 061</t>
  </si>
  <si>
    <t>1.5.1975.</t>
  </si>
  <si>
    <t>Serdarević</t>
  </si>
  <si>
    <t>katarina.serdarevic@egmont.com</t>
  </si>
  <si>
    <t>BR d.o.o.</t>
  </si>
  <si>
    <t>https://broth.hr/</t>
  </si>
  <si>
    <t>info@broth.hr</t>
  </si>
  <si>
    <t>0914250481</t>
  </si>
  <si>
    <t>31556084235</t>
  </si>
  <si>
    <t xml:space="preserve">Preradovićeva 23, Varaždin
</t>
  </si>
  <si>
    <t>Blaženka</t>
  </si>
  <si>
    <t>Roth</t>
  </si>
  <si>
    <t>blazenka.roth@gmail.com</t>
  </si>
  <si>
    <t>29.10.1974.</t>
  </si>
  <si>
    <t>Marjan voće d.o.o</t>
  </si>
  <si>
    <t>http://www.marjan-voce.hr/</t>
  </si>
  <si>
    <t>webshop@marjan-voce.hr</t>
  </si>
  <si>
    <t xml:space="preserve">012752835
</t>
  </si>
  <si>
    <t>10152071100</t>
  </si>
  <si>
    <t xml:space="preserve">KOZARI 8A
</t>
  </si>
  <si>
    <t>Tihana</t>
  </si>
  <si>
    <t>Martić</t>
  </si>
  <si>
    <t>tihana.martic@marjan-voce.hr</t>
  </si>
  <si>
    <t>3.9.1985</t>
  </si>
  <si>
    <t>Roca</t>
  </si>
  <si>
    <t>pavao.roca@marjan-voce.hr</t>
  </si>
  <si>
    <t>Rox d.o.o.</t>
  </si>
  <si>
    <t>http://www.roxbeauty.eu/</t>
  </si>
  <si>
    <t>kristijan@rox.hr</t>
  </si>
  <si>
    <t>012040900</t>
  </si>
  <si>
    <t>20534431136</t>
  </si>
  <si>
    <t>Slavonska avenija 100, 10040 Zagreb</t>
  </si>
  <si>
    <t>Kristijan
Ivan</t>
  </si>
  <si>
    <t>Kristic
Glibić</t>
  </si>
  <si>
    <t>kristijan@rox.hr
ivan.glibic@rox.hr</t>
  </si>
  <si>
    <t>03.07.1992</t>
  </si>
  <si>
    <t>Bregant</t>
  </si>
  <si>
    <t>marko.bregant@rox.hr</t>
  </si>
  <si>
    <t>molim da ga nazovem 28.1.</t>
  </si>
  <si>
    <t>Inter Cars d.o.o.</t>
  </si>
  <si>
    <t>https://www.intercars.com/hr/eshop/</t>
  </si>
  <si>
    <t>eshop.hr@intercars.com</t>
  </si>
  <si>
    <t>0917962904</t>
  </si>
  <si>
    <t>46564276045</t>
  </si>
  <si>
    <t>Krapinska 37, 10290 Zaprešić</t>
  </si>
  <si>
    <t>Čorak</t>
  </si>
  <si>
    <t>vedran.corak@gmail.com</t>
  </si>
  <si>
    <t>28.11.1986.</t>
  </si>
  <si>
    <t>Alimar Skiper Sistemi d.o.o.</t>
  </si>
  <si>
    <t>enavigator.hr (zakupljena domena)</t>
  </si>
  <si>
    <t>info@alimar.hr</t>
  </si>
  <si>
    <t>023335300</t>
  </si>
  <si>
    <t>82978630058</t>
  </si>
  <si>
    <t>Sv. Nikole Tavelića 64</t>
  </si>
  <si>
    <t>Dešpalj</t>
  </si>
  <si>
    <t xml:space="preserve">	
dragocro@gmail.com</t>
  </si>
  <si>
    <t>27.11.1959</t>
  </si>
  <si>
    <t>Oluk doo</t>
  </si>
  <si>
    <t>https://www.oluk.hr/</t>
  </si>
  <si>
    <t>m.zovko@oluk.hr</t>
  </si>
  <si>
    <t>0981630645</t>
  </si>
  <si>
    <t>89576110178</t>
  </si>
  <si>
    <t>Svetog križa 1, 31301 Branjin Vrh</t>
  </si>
  <si>
    <t>Zovko</t>
  </si>
  <si>
    <t>1.12.1966</t>
  </si>
  <si>
    <t>Inel d.o.o.</t>
  </si>
  <si>
    <t>Elektromaterijal.hr</t>
  </si>
  <si>
    <t>info@elektromaterijal.hr</t>
  </si>
  <si>
    <t>021569782</t>
  </si>
  <si>
    <t>68001619680</t>
  </si>
  <si>
    <t>Šibenska 9, Split</t>
  </si>
  <si>
    <t>Šiško</t>
  </si>
  <si>
    <t>marko.sisko@inelsplit.hr</t>
  </si>
  <si>
    <t>18.03.1987.</t>
  </si>
  <si>
    <t>Gavroprom d.o.o.</t>
  </si>
  <si>
    <t>https://www.gavroprom.hr/</t>
  </si>
  <si>
    <t>webshop@gavroprom.hr</t>
  </si>
  <si>
    <t>016642242</t>
  </si>
  <si>
    <t>75488043837</t>
  </si>
  <si>
    <t>Avenija Većeslava Holjevca 42b</t>
  </si>
  <si>
    <t>Gavran</t>
  </si>
  <si>
    <t>6.2.1998.</t>
  </si>
  <si>
    <t>Antonijo</t>
  </si>
  <si>
    <t>Rizvić</t>
  </si>
  <si>
    <t>rizvo7@gmail.com</t>
  </si>
  <si>
    <t>16.7.1988.</t>
  </si>
  <si>
    <t>Lacertus Verbum d.o.o.</t>
  </si>
  <si>
    <t>www.sudoper.hr</t>
  </si>
  <si>
    <t>dvukasinovic@sudoper.hr</t>
  </si>
  <si>
    <t>012058999</t>
  </si>
  <si>
    <t>34470154757</t>
  </si>
  <si>
    <t>Jure Turića 7, 10360 Sesvete</t>
  </si>
  <si>
    <t>Dalibor</t>
  </si>
  <si>
    <t>Vukašinović</t>
  </si>
  <si>
    <t>29.09.1980</t>
  </si>
  <si>
    <t xml:space="preserve">8/25 upgrade na premium </t>
  </si>
  <si>
    <t>https://www.pandin-brlog.hr/</t>
  </si>
  <si>
    <t>info@pandin-brlog.hr</t>
  </si>
  <si>
    <t>01 7980979</t>
  </si>
  <si>
    <t>Pomerio 20, Rijeka</t>
  </si>
  <si>
    <t>Grozdanić</t>
  </si>
  <si>
    <t>helena.grozdanic@talentshow.hr</t>
  </si>
  <si>
    <t>Happy Kids doo</t>
  </si>
  <si>
    <t>www.happy-kids.hr</t>
  </si>
  <si>
    <t>info@happy-kids.hr</t>
  </si>
  <si>
    <t>0915328201</t>
  </si>
  <si>
    <t>03270954658</t>
  </si>
  <si>
    <t>Varaždinska 27 Nedeljanec</t>
  </si>
  <si>
    <t>14.07.1988.</t>
  </si>
  <si>
    <t>https://hr.melvita.com/</t>
  </si>
  <si>
    <t>Webshop@melvita.hr</t>
  </si>
  <si>
    <t>0993898391</t>
  </si>
  <si>
    <t>Ulica Andrije Hebranga 6</t>
  </si>
  <si>
    <t>The Pearl of Pannonia d.o.o.</t>
  </si>
  <si>
    <t>U izradi</t>
  </si>
  <si>
    <t>karlo.tkalcec@gmail.com</t>
  </si>
  <si>
    <t>0989254702</t>
  </si>
  <si>
    <t>20970102715</t>
  </si>
  <si>
    <t>Trg Republike 24, 40305 Nedelišće</t>
  </si>
  <si>
    <t>Tkalčec</t>
  </si>
  <si>
    <t>15.05.1990</t>
  </si>
  <si>
    <t>Martina</t>
  </si>
  <si>
    <t>m.tkalcec9@gmail.com</t>
  </si>
  <si>
    <t>Pro-trade d.o.o.</t>
  </si>
  <si>
    <t>https://www.kraljrostilja.hr/</t>
  </si>
  <si>
    <t>lesar@protrade.hr</t>
  </si>
  <si>
    <t>Lesar</t>
  </si>
  <si>
    <t>Judy d.o.o.</t>
  </si>
  <si>
    <t>ledshop.hr</t>
  </si>
  <si>
    <r>
      <rPr>
        <color rgb="FF1155CC"/>
        <u/>
      </rPr>
      <t>info@ledshop.hr</t>
    </r>
  </si>
  <si>
    <t>0958176318</t>
  </si>
  <si>
    <t>32300530838</t>
  </si>
  <si>
    <t>LEDshop, Banjolska 18</t>
  </si>
  <si>
    <t>Mate</t>
  </si>
  <si>
    <t>Ljubas</t>
  </si>
  <si>
    <t>mate.ljubas@ledshop.hr</t>
  </si>
  <si>
    <t>12.11.1985</t>
  </si>
  <si>
    <t>Dučkić</t>
  </si>
  <si>
    <t>dominik.duckic4@gmail.com</t>
  </si>
  <si>
    <t>04.12.1989</t>
  </si>
  <si>
    <t>TiD-extra d.o.o.</t>
  </si>
  <si>
    <t>http://milwaukeeshop.tid-extra.hr/</t>
  </si>
  <si>
    <t>milwaukeeinfo@tid-extra.hr
tid-extra@tid-extra.hr</t>
  </si>
  <si>
    <t>040/543991</t>
  </si>
  <si>
    <t>95460557222</t>
  </si>
  <si>
    <t>Slatine6, Mursko Središće</t>
  </si>
  <si>
    <t>Buhanec</t>
  </si>
  <si>
    <t>vanja@tid-extra.hr</t>
  </si>
  <si>
    <t>10.06.1989</t>
  </si>
  <si>
    <t xml:space="preserve">zvala nisu se javili </t>
  </si>
  <si>
    <t>https://hr.loccitane.com/</t>
  </si>
  <si>
    <t>webshop@loccitane.hr</t>
  </si>
  <si>
    <t xml:space="preserve">01/4810-184 </t>
  </si>
  <si>
    <t>Ljekarne Prima Farmacia</t>
  </si>
  <si>
    <t>https://ljekarne-prima-farmacia.hr/</t>
  </si>
  <si>
    <t>info@ljekarne-prima-farmacia.hr</t>
  </si>
  <si>
    <t>021 674 358</t>
  </si>
  <si>
    <t>55199637900</t>
  </si>
  <si>
    <t>Hrvatskih velikana 19, Vrgorac</t>
  </si>
  <si>
    <t>Jele</t>
  </si>
  <si>
    <t>Ribičić</t>
  </si>
  <si>
    <t>jele.ribicic2@gmail.com</t>
  </si>
  <si>
    <t>16.05.1974.</t>
  </si>
  <si>
    <t>https://www.skolske-torbe.hr/</t>
  </si>
  <si>
    <t>20429317317</t>
  </si>
  <si>
    <t>Hebrangova 32</t>
  </si>
  <si>
    <t>385 97 77 24 686</t>
  </si>
  <si>
    <t>27.1. poslan mail, nemam broj</t>
  </si>
  <si>
    <t>Ljekarna Pablo</t>
  </si>
  <si>
    <t>https://ljekarna-pablo.hr/</t>
  </si>
  <si>
    <t>info@ljekarna-pablo.hr</t>
  </si>
  <si>
    <t>099 7022 313</t>
  </si>
  <si>
    <t>23197705042</t>
  </si>
  <si>
    <t>Pulac 4a, 51 000 Rijeka</t>
  </si>
  <si>
    <t>Gregorić</t>
  </si>
  <si>
    <t>magdalena.gregoric@ljekarna-pablo.hr</t>
  </si>
  <si>
    <t>23.01.1999</t>
  </si>
  <si>
    <t>Elfs d.o.o.</t>
  </si>
  <si>
    <t>www.elfs.hr</t>
  </si>
  <si>
    <t>info@elfs.hr</t>
  </si>
  <si>
    <t>0989397431</t>
  </si>
  <si>
    <t>96050668311</t>
  </si>
  <si>
    <t>Amruševa 19</t>
  </si>
  <si>
    <t>Aleksandar</t>
  </si>
  <si>
    <t>Šekuljica</t>
  </si>
  <si>
    <t>aleksandar@elfs.hr</t>
  </si>
  <si>
    <t>10.07.1985.</t>
  </si>
  <si>
    <t>Grgurić</t>
  </si>
  <si>
    <t>maja@elfs.hr</t>
  </si>
  <si>
    <t>5.10.1985.</t>
  </si>
  <si>
    <t>Pismoreklam doo</t>
  </si>
  <si>
    <t>Pismoreklam.hr</t>
  </si>
  <si>
    <t>webshop@pismoreklam.hr</t>
  </si>
  <si>
    <t>0998282897</t>
  </si>
  <si>
    <t>Antuna Kanizlica 9</t>
  </si>
  <si>
    <t>mandić</t>
  </si>
  <si>
    <t>luka@pismoreklam.hr</t>
  </si>
  <si>
    <t>17.03.1993</t>
  </si>
  <si>
    <t>Bakovic</t>
  </si>
  <si>
    <t>sbakovic@gmail.com</t>
  </si>
  <si>
    <t>EURO-UNIT d.o.o.</t>
  </si>
  <si>
    <t>euro-unit.com</t>
  </si>
  <si>
    <t>musicstore@euro-unit.com</t>
  </si>
  <si>
    <t>040829440</t>
  </si>
  <si>
    <t>83605107180</t>
  </si>
  <si>
    <t>Ulica braće Grener 8, 40000 Čakovec</t>
  </si>
  <si>
    <t>Senčar</t>
  </si>
  <si>
    <t>h.sencar@euro-unit.hr</t>
  </si>
  <si>
    <t>Levatić</t>
  </si>
  <si>
    <t>d.levatic@euro-unit.hr</t>
  </si>
  <si>
    <t>Tekstilpromet d.d.</t>
  </si>
  <si>
    <t>https://brandsandtrends.hr/</t>
  </si>
  <si>
    <t>info@brandsandtrends.hr</t>
  </si>
  <si>
    <t>012700789</t>
  </si>
  <si>
    <t>16529207670</t>
  </si>
  <si>
    <t>Posavec</t>
  </si>
  <si>
    <t>webshop.mposavec@tekstilpromet.hr</t>
  </si>
  <si>
    <t>Škaberna Opačić</t>
  </si>
  <si>
    <t>Matea.SkabernaOpacic@tekstilpromet.hr</t>
  </si>
  <si>
    <t>385 (0) 91 3129 947</t>
  </si>
  <si>
    <t>Nutrivor, obrt za internetski portal</t>
  </si>
  <si>
    <t>www.nutrivor.eu</t>
  </si>
  <si>
    <t>nutrivor@nutrivor.eu</t>
  </si>
  <si>
    <t>0915214784</t>
  </si>
  <si>
    <t>69691988976</t>
  </si>
  <si>
    <t>Hermanova 20, Zagreb</t>
  </si>
  <si>
    <t>Krolo</t>
  </si>
  <si>
    <t>Istra Wine Trgovački obrt vl. Andrea Paljuh</t>
  </si>
  <si>
    <t>www.istra.wine</t>
  </si>
  <si>
    <t>istrawine@gmail.com</t>
  </si>
  <si>
    <t>0915795484</t>
  </si>
  <si>
    <t>40848300774</t>
  </si>
  <si>
    <t>Novigradska ulica 30</t>
  </si>
  <si>
    <t>Patrick</t>
  </si>
  <si>
    <t>Zornada</t>
  </si>
  <si>
    <t>zornada.patrick@gmail.com</t>
  </si>
  <si>
    <t>31.03.1995.</t>
  </si>
  <si>
    <t>Zorsa d.o.o.</t>
  </si>
  <si>
    <t>www.autotepisi.hr</t>
  </si>
  <si>
    <t>zorsa.doo@gmail.com</t>
  </si>
  <si>
    <t>091 663 3501</t>
  </si>
  <si>
    <t>48058957901</t>
  </si>
  <si>
    <t>Goričica 32</t>
  </si>
  <si>
    <t>Renis</t>
  </si>
  <si>
    <t>zorsa@inet.hr</t>
  </si>
  <si>
    <t>03.10.1965.</t>
  </si>
  <si>
    <t>PIK VRBOVEC plus d.o.o.</t>
  </si>
  <si>
    <t>u izradi</t>
  </si>
  <si>
    <t>mia.muller@pik-vrbovec.hr</t>
  </si>
  <si>
    <t>0912794723</t>
  </si>
  <si>
    <t>41976933718</t>
  </si>
  <si>
    <t>Zagrebačka 148, 10340 Vrbovec</t>
  </si>
  <si>
    <t>Müller</t>
  </si>
  <si>
    <t>29.11.1986.</t>
  </si>
  <si>
    <t>Husinec</t>
  </si>
  <si>
    <t>katarina.husinec@pik-vrbovec.hr</t>
  </si>
  <si>
    <t>091/2794-362</t>
  </si>
  <si>
    <t>27.03.1991.</t>
  </si>
  <si>
    <t>50% popusta na članarinu trajno</t>
  </si>
  <si>
    <t>atlantis travel</t>
  </si>
  <si>
    <t>www.atlantis-travel.hr</t>
  </si>
  <si>
    <t>crm@atlantis-travel.hr</t>
  </si>
  <si>
    <t>0914424111</t>
  </si>
  <si>
    <t>54089624563</t>
  </si>
  <si>
    <t>Petrinjska 59 Zahreb</t>
  </si>
  <si>
    <t>Čarapić</t>
  </si>
  <si>
    <t>zoran@atlantis-travel.hr</t>
  </si>
  <si>
    <t>web3@atlantis-travel.hr</t>
  </si>
  <si>
    <t>nije uneseno</t>
  </si>
  <si>
    <t>AUTO HRVATSKA AUTOMOBILI d.o.o.</t>
  </si>
  <si>
    <t>shop.autohrvatska.hr</t>
  </si>
  <si>
    <t>webprodaja@autohrvatska.hr</t>
  </si>
  <si>
    <t>08001952</t>
  </si>
  <si>
    <t>87682591133</t>
  </si>
  <si>
    <t>Radnička 182</t>
  </si>
  <si>
    <t>Gluhak</t>
  </si>
  <si>
    <t>ivan.gluhak@autohrvatska.hr</t>
  </si>
  <si>
    <t xml:space="preserve">SITNIČARIJA, obrt za grafičke usluge, vl. Petar Predojević, </t>
  </si>
  <si>
    <t>www.sitnicarija.hr</t>
  </si>
  <si>
    <t>info@sitnicarija.hr</t>
  </si>
  <si>
    <t>43 440 614</t>
  </si>
  <si>
    <t>41124689950</t>
  </si>
  <si>
    <t>Bjelovar, L. Supančića 3</t>
  </si>
  <si>
    <t>Predojević</t>
  </si>
  <si>
    <t>petar.predojevic@bj.t-com.hr</t>
  </si>
  <si>
    <t>385 98 9850 960</t>
  </si>
  <si>
    <t>06.08.1974.</t>
  </si>
  <si>
    <t>Zrnka</t>
  </si>
  <si>
    <t>Saks Predojević</t>
  </si>
  <si>
    <t>zrnka.saks1@zg.t-com.hr</t>
  </si>
  <si>
    <t>098 345 141</t>
  </si>
  <si>
    <t>11.02.1975.</t>
  </si>
  <si>
    <t>KB d.o.o.</t>
  </si>
  <si>
    <t>https://bima-shop.hr/</t>
  </si>
  <si>
    <t>info@bima-shop.hr</t>
  </si>
  <si>
    <t>0991956780</t>
  </si>
  <si>
    <t>57881852421</t>
  </si>
  <si>
    <t>Vilka Novaka 6, 42209 Sračinec</t>
  </si>
  <si>
    <t>Peremin</t>
  </si>
  <si>
    <t>goran@bima-shop.hr</t>
  </si>
  <si>
    <t>099 247 6400</t>
  </si>
  <si>
    <t>28.10.1984.</t>
  </si>
  <si>
    <t>Ljekarne Pavlić</t>
  </si>
  <si>
    <t>http://www.ljekarne-pavlic.hr/</t>
  </si>
  <si>
    <t>info@ljekarne-pavlic.hr</t>
  </si>
  <si>
    <t>044 570 427</t>
  </si>
  <si>
    <t>92292560238</t>
  </si>
  <si>
    <t>Ferde Hefelea 21, Sisak</t>
  </si>
  <si>
    <t>Sven</t>
  </si>
  <si>
    <t>Pavlić</t>
  </si>
  <si>
    <t>svenpavlic@gmail.com</t>
  </si>
  <si>
    <t>098 827 284</t>
  </si>
  <si>
    <t>21.03.1985</t>
  </si>
  <si>
    <t>Lipovac</t>
  </si>
  <si>
    <t>maja1702@gmail.com</t>
  </si>
  <si>
    <t>13.11.1981.</t>
  </si>
  <si>
    <t>Mikrotvornica j.d.o.o.</t>
  </si>
  <si>
    <t>https://www.3dprintaj.com/</t>
  </si>
  <si>
    <t>info@3dprintaj.com</t>
  </si>
  <si>
    <t>095 514 2570</t>
  </si>
  <si>
    <t>11632409972</t>
  </si>
  <si>
    <t>Avenija Dubrovnik 15/12</t>
  </si>
  <si>
    <t>Patricija</t>
  </si>
  <si>
    <t>Kunc</t>
  </si>
  <si>
    <t>patricija@3dprintaj.com</t>
  </si>
  <si>
    <t>nikola@mikrotvornica.com</t>
  </si>
  <si>
    <t>091 567 2604</t>
  </si>
  <si>
    <t>04.10.1986.</t>
  </si>
  <si>
    <t>patricija@mikrotvornica.com
patricija@3dprintaj.com</t>
  </si>
  <si>
    <t>099 414 7819</t>
  </si>
  <si>
    <t>27.11.1988.</t>
  </si>
  <si>
    <t>FURNITURE1 d.o.o.</t>
  </si>
  <si>
    <t>https://www.namjestaj.hr/</t>
  </si>
  <si>
    <t>info@namjestaj.hr</t>
  </si>
  <si>
    <t>091 602 6026</t>
  </si>
  <si>
    <t>33412662987</t>
  </si>
  <si>
    <t>Ježdovečka ulica 143, 10250 Ježdovec (Grad Zagreb)</t>
  </si>
  <si>
    <t>Popović</t>
  </si>
  <si>
    <t>ana@furniture1.eu</t>
  </si>
  <si>
    <t>11.06.1992.</t>
  </si>
  <si>
    <t>nije se javio 12.2.
2025 downgrade u punopravno iz premiuma</t>
  </si>
  <si>
    <t>Galleria Internazionale d.o.o.</t>
  </si>
  <si>
    <t>https://www.tvornicazdravehrane.com/</t>
  </si>
  <si>
    <t>info@tvornicazdravehrane.com</t>
  </si>
  <si>
    <t xml:space="preserve">01 5573 568  </t>
  </si>
  <si>
    <t>15724166318</t>
  </si>
  <si>
    <t>Predavčeva 6, 10000 Zagreb</t>
  </si>
  <si>
    <t>Elvis</t>
  </si>
  <si>
    <t>Kajtazović</t>
  </si>
  <si>
    <t>elvis@tvornicazdravehrane.com</t>
  </si>
  <si>
    <t>07.05.1988.</t>
  </si>
  <si>
    <t>UNIQA osiguranje d.d.</t>
  </si>
  <si>
    <t>http://www.uniqa.hr/</t>
  </si>
  <si>
    <t>webshop@uniqa.hr</t>
  </si>
  <si>
    <t>385992475756</t>
  </si>
  <si>
    <t>75665455333</t>
  </si>
  <si>
    <t>Planinska 13 a</t>
  </si>
  <si>
    <t>Posedi</t>
  </si>
  <si>
    <t>luka.posedi@uniqa.hr</t>
  </si>
  <si>
    <t>22.01.1985</t>
  </si>
  <si>
    <t>lucija.maric@uniqa.hr</t>
  </si>
  <si>
    <t>02.12.1986</t>
  </si>
  <si>
    <t>bivša Vinoteka Vinita, 2025 preuzela nova firma</t>
  </si>
  <si>
    <t>LU-MA Ekskluziv d.o.o.</t>
  </si>
  <si>
    <t>www.lumaekskluziv.hr</t>
  </si>
  <si>
    <t>web@lumaekskluziv.hr</t>
  </si>
  <si>
    <t>87869808917</t>
  </si>
  <si>
    <t>Savica I 36, 10000 Zagreb</t>
  </si>
  <si>
    <t xml:space="preserve">Zrinka </t>
  </si>
  <si>
    <t>Vidošević</t>
  </si>
  <si>
    <t>zrinka.vidosevic@orka-grupa.hr</t>
  </si>
  <si>
    <t>Shirts &amp; More j.d.o.o.</t>
  </si>
  <si>
    <t>http://lumer-shop.eu/</t>
  </si>
  <si>
    <t>info@lumer-shop.eu</t>
  </si>
  <si>
    <t>0958848729</t>
  </si>
  <si>
    <t>47335605918</t>
  </si>
  <si>
    <t>Put Budeševa 26, 21312 Podstrana</t>
  </si>
  <si>
    <t>josip@vrban.org</t>
  </si>
  <si>
    <t>05.03.1980.</t>
  </si>
  <si>
    <t>Evenio d.o.o.</t>
  </si>
  <si>
    <t>http://www.evenio.hr/</t>
  </si>
  <si>
    <t>info@evenio.hr</t>
  </si>
  <si>
    <t>091-754-9564</t>
  </si>
  <si>
    <t>69863470363</t>
  </si>
  <si>
    <t>Frana Supila 7A, 42000 Varaždin.</t>
  </si>
  <si>
    <t>jelena.kovacic@evenio.hr</t>
  </si>
  <si>
    <t>04.06.1980.</t>
  </si>
  <si>
    <t>Kristina</t>
  </si>
  <si>
    <t>Šoštar</t>
  </si>
  <si>
    <t>11.04.1979.</t>
  </si>
  <si>
    <t>16.2.2025. odrađena certifikacija, poslan mail podsjetnik da se implementira i poziv za online call</t>
  </si>
  <si>
    <t>Art-rasvjeta d.o.o.</t>
  </si>
  <si>
    <t>art-rasvjeta.hr</t>
  </si>
  <si>
    <t>webshop@art-rasvjeta.hr</t>
  </si>
  <si>
    <t>3697-901</t>
  </si>
  <si>
    <t>71466404224</t>
  </si>
  <si>
    <t>Ozaljska 73,Zagreb</t>
  </si>
  <si>
    <t>Anel</t>
  </si>
  <si>
    <t>Ramadanović</t>
  </si>
  <si>
    <t>anel@art-rasvjeta.hr</t>
  </si>
  <si>
    <t>01 369 4448</t>
  </si>
  <si>
    <t>16.09.1972.</t>
  </si>
  <si>
    <t>prijavio se za certifikaciju 17.2.</t>
  </si>
  <si>
    <t>Exterim d.o.o.</t>
  </si>
  <si>
    <t>https://exterim.hr/</t>
  </si>
  <si>
    <t>info@exterim.hr</t>
  </si>
  <si>
    <t>0994901556   031 201 888</t>
  </si>
  <si>
    <t>79596529276</t>
  </si>
  <si>
    <t>Hrvatske Republike 19d Osijek</t>
  </si>
  <si>
    <t>Ante</t>
  </si>
  <si>
    <t>Ćavar</t>
  </si>
  <si>
    <t>Ante@exterim.hr</t>
  </si>
  <si>
    <t>031 201 888</t>
  </si>
  <si>
    <t>03.06.1993.</t>
  </si>
  <si>
    <t>Volim Ljuto j.d.o.o.</t>
  </si>
  <si>
    <t>https://www.volimljuto.com</t>
  </si>
  <si>
    <t>webshop@volimljuto.com</t>
  </si>
  <si>
    <t>0912203211</t>
  </si>
  <si>
    <t>43285636325</t>
  </si>
  <si>
    <t>Gajeva 37, 10297 Igrišće</t>
  </si>
  <si>
    <t>Vrabec</t>
  </si>
  <si>
    <t>goran@volimljuto.com</t>
  </si>
  <si>
    <t>14.01.1984.</t>
  </si>
  <si>
    <t>odrađena certifikacija 16.2.</t>
  </si>
  <si>
    <t>Dada&amp;Rocco</t>
  </si>
  <si>
    <t>https://dadaandrocco.com/</t>
  </si>
  <si>
    <t>info@dadaandrocco.com</t>
  </si>
  <si>
    <t>00385916135433</t>
  </si>
  <si>
    <t>86017244401</t>
  </si>
  <si>
    <t>Put križa bb, 21400 Supetar, Otok Brač</t>
  </si>
  <si>
    <t>Kustić</t>
  </si>
  <si>
    <t>stipe@dadaandrocco.com</t>
  </si>
  <si>
    <t>13.03.1980.</t>
  </si>
  <si>
    <t>Bukal elektronika d.o.o.</t>
  </si>
  <si>
    <t>www.bukal.hr</t>
  </si>
  <si>
    <t>web@bukal.hr</t>
  </si>
  <si>
    <t>0915786275</t>
  </si>
  <si>
    <t>42520462368</t>
  </si>
  <si>
    <t>Nikole Pavića 4, 40000 Čakovec</t>
  </si>
  <si>
    <t>nikola@minima.hr</t>
  </si>
  <si>
    <t>21.06.1983</t>
  </si>
  <si>
    <t xml:space="preserve">odrađena certifikacija 16.2., slati Sari na marketing@handyshop.hr </t>
  </si>
  <si>
    <t xml:space="preserve">Dradar d.o.o. </t>
  </si>
  <si>
    <t>https://handyshop.hr/</t>
  </si>
  <si>
    <t>handyshop@handyshop.hr</t>
  </si>
  <si>
    <t>01 6594 961</t>
  </si>
  <si>
    <t>99760170734</t>
  </si>
  <si>
    <t>Puževa 13</t>
  </si>
  <si>
    <t>Ćorluka</t>
  </si>
  <si>
    <t>dradar@dradar.hr</t>
  </si>
  <si>
    <t>12.11.1975</t>
  </si>
  <si>
    <t>Lerga</t>
  </si>
  <si>
    <t>jurica@dradar.hr</t>
  </si>
  <si>
    <t>095 85 98 900</t>
  </si>
  <si>
    <t>Makromikro grupa d.o.o.</t>
  </si>
  <si>
    <t>makromikrogrupa.hr</t>
  </si>
  <si>
    <t>web-upit@makromikro.hr</t>
  </si>
  <si>
    <t>01 6410091</t>
  </si>
  <si>
    <t>50467974870</t>
  </si>
  <si>
    <t>Bani 73/B, 10010 Zagreb-Buzin</t>
  </si>
  <si>
    <t>Šokec</t>
  </si>
  <si>
    <t>matija.sokec@makromikro.hr</t>
  </si>
  <si>
    <t>0911761761
015392400</t>
  </si>
  <si>
    <t>https://www.autokreso.hr/</t>
  </si>
  <si>
    <t>prodaja@autokreso.hr</t>
  </si>
  <si>
    <t>0989474812</t>
  </si>
  <si>
    <t>Biokovska 1b, Zagreb</t>
  </si>
  <si>
    <t>Krstanović</t>
  </si>
  <si>
    <t>ivana.krstanovic@autokreso.hr</t>
  </si>
  <si>
    <t>14.07.1981</t>
  </si>
  <si>
    <t>27.1.zbog internih restrikcija ne mogu imati Safe Shop</t>
  </si>
  <si>
    <t>CEWE</t>
  </si>
  <si>
    <t>www.cewe.hr</t>
  </si>
  <si>
    <t>info@cewe.hr</t>
  </si>
  <si>
    <t>0992922229</t>
  </si>
  <si>
    <t>HU12305412</t>
  </si>
  <si>
    <t>Beke út 21-29, Budimpešta</t>
  </si>
  <si>
    <t>igor.roth@cewe.hr</t>
  </si>
  <si>
    <t>28.02.1976.</t>
  </si>
  <si>
    <t>Vrsaljko</t>
  </si>
  <si>
    <t>josipa.vrsaljko@cewe.hr</t>
  </si>
  <si>
    <t>28.05.1983.</t>
  </si>
  <si>
    <t>Unconditional d.o.o.</t>
  </si>
  <si>
    <t>www.zoocity.hr</t>
  </si>
  <si>
    <t>webshop@zoocity.hr
info@unconditional.company</t>
  </si>
  <si>
    <t>0912203605</t>
  </si>
  <si>
    <t>35671195874</t>
  </si>
  <si>
    <t>Vranjički put 19, Split</t>
  </si>
  <si>
    <t>Banoža</t>
  </si>
  <si>
    <t>mbanoza@u1974.com</t>
  </si>
  <si>
    <t>385 91 220 3648</t>
  </si>
  <si>
    <t>Euromusic Agency d.o.o.</t>
  </si>
  <si>
    <t>http://musicshop.hr/</t>
  </si>
  <si>
    <t>info@musicshop.hr</t>
  </si>
  <si>
    <t>098 926 99 36</t>
  </si>
  <si>
    <t>59262483201</t>
  </si>
  <si>
    <t>Kralja Tomislava 31, 40 000, Čakovec</t>
  </si>
  <si>
    <t>Robert</t>
  </si>
  <si>
    <t>Modlic</t>
  </si>
  <si>
    <t>rmodlic@gmail.com</t>
  </si>
  <si>
    <t>26.06.1987.</t>
  </si>
  <si>
    <t>Bistrović</t>
  </si>
  <si>
    <t>igor@musicshop.hr</t>
  </si>
  <si>
    <t>099 194 60 50</t>
  </si>
  <si>
    <t>01.07.1981.</t>
  </si>
  <si>
    <t xml:space="preserve">www.zutiklik.hr </t>
  </si>
  <si>
    <t>Škoc</t>
  </si>
  <si>
    <t>suzana.skoc@posta.hr</t>
  </si>
  <si>
    <t>27.1. rekla se javiti povratno</t>
  </si>
  <si>
    <t>Zdravstvena ustanova za ljekarničku
djelatnost Ljekarne VAŠE ZDRAVLJE</t>
  </si>
  <si>
    <t>https://webljekarna.vasezdravlje.com/</t>
  </si>
  <si>
    <t>ivana.bare@oktal-pharma.hr</t>
  </si>
  <si>
    <t>091 4413 365</t>
  </si>
  <si>
    <t>00750621355</t>
  </si>
  <si>
    <t>Utinjska 40, Zagreb</t>
  </si>
  <si>
    <t>Anamarija</t>
  </si>
  <si>
    <t>Božić</t>
  </si>
  <si>
    <t>Anamarija.Bozic@oktal-pharma.hr</t>
  </si>
  <si>
    <t>11.05.1973.</t>
  </si>
  <si>
    <t>Vlajčić</t>
  </si>
  <si>
    <t>Zrinka.Vlajcic@oktal-pharma.hr</t>
  </si>
  <si>
    <t>Termol d.o.o.</t>
  </si>
  <si>
    <t>www.termol.hr</t>
  </si>
  <si>
    <t>info@termol.hr</t>
  </si>
  <si>
    <t>032 550 222</t>
  </si>
  <si>
    <t>43394280046</t>
  </si>
  <si>
    <t>Duga ulica 91</t>
  </si>
  <si>
    <t>Preradović</t>
  </si>
  <si>
    <t>info@termol.hr, marina@termol.hr marina@termol.hr</t>
  </si>
  <si>
    <t>24.02.1985.</t>
  </si>
  <si>
    <t>marina@termol.hr</t>
  </si>
  <si>
    <t>Centar tehnike d.o.o.</t>
  </si>
  <si>
    <t>www.centar-tehnike.hr</t>
  </si>
  <si>
    <t>webshop@centartehnike.hr</t>
  </si>
  <si>
    <t>0912250099</t>
  </si>
  <si>
    <t>95735819993</t>
  </si>
  <si>
    <t>Županijska 31, OSijek</t>
  </si>
  <si>
    <t>Jelić</t>
  </si>
  <si>
    <t>tomislav.jelic@centartehnike.hr</t>
  </si>
  <si>
    <t>20.05.1984.</t>
  </si>
  <si>
    <t>www.lonciipoklopci.hr</t>
  </si>
  <si>
    <t>marketing@protrade.hr</t>
  </si>
  <si>
    <t>01 48 49 155</t>
  </si>
  <si>
    <t>Frankopanska 22</t>
  </si>
  <si>
    <t>Lesnina H.d.o.o</t>
  </si>
  <si>
    <t>http://www.xxxlesnina.hr/</t>
  </si>
  <si>
    <t>shop@xxxlesnina.hr</t>
  </si>
  <si>
    <t>0917870286</t>
  </si>
  <si>
    <t>36998794856</t>
  </si>
  <si>
    <t>Slavonska Avenija 106</t>
  </si>
  <si>
    <t>xdu@xxxlesnina.hr</t>
  </si>
  <si>
    <t>22.09.1974</t>
  </si>
  <si>
    <t>Huško</t>
  </si>
  <si>
    <t>huo@xxxlesnina.hr</t>
  </si>
  <si>
    <t>01.10.1980</t>
  </si>
  <si>
    <t>Woolf D.O.O</t>
  </si>
  <si>
    <t>woolf.hr</t>
  </si>
  <si>
    <t>woolf@woolf.hr</t>
  </si>
  <si>
    <t>040584603</t>
  </si>
  <si>
    <t>45374311169</t>
  </si>
  <si>
    <t>J. B. Tita 94, 40315 Mursko Sredisce</t>
  </si>
  <si>
    <t>Hodić</t>
  </si>
  <si>
    <t>damir.hodic@woolf.hr</t>
  </si>
  <si>
    <t>05.06.1978.</t>
  </si>
  <si>
    <t>Marinko</t>
  </si>
  <si>
    <t>nije ispunjeno</t>
  </si>
  <si>
    <t>17.12.1975.</t>
  </si>
  <si>
    <t>27.1. on je za, čeka zeleno svjetlo od uprave, šaljem mail i dogovoren je povratni kontakt za mjesec dana</t>
  </si>
  <si>
    <t>PEVEX D.D.</t>
  </si>
  <si>
    <t>webshop@pevec.hr</t>
  </si>
  <si>
    <t>01 5510 933</t>
  </si>
  <si>
    <t>73660371074</t>
  </si>
  <si>
    <t>Savska cesta 84, 10000 Zagreb</t>
  </si>
  <si>
    <t xml:space="preserve">Dario </t>
  </si>
  <si>
    <t>Gretic</t>
  </si>
  <si>
    <t>Dario.Gretic@pevex.hr</t>
  </si>
  <si>
    <t xml:space="preserve">385 91 3430 004 </t>
  </si>
  <si>
    <t>Damir.Kappel@pevex.hr</t>
  </si>
  <si>
    <t>All Mall d.o.o.</t>
  </si>
  <si>
    <t>https://www.allmall.hr/</t>
  </si>
  <si>
    <t>allmall@allmall.hr</t>
  </si>
  <si>
    <t>01 7888 799</t>
  </si>
  <si>
    <t>54704123638</t>
  </si>
  <si>
    <t>Božidara Magovca 39, 10000 Zagreb</t>
  </si>
  <si>
    <t>Radovan</t>
  </si>
  <si>
    <t>Juzbašić</t>
  </si>
  <si>
    <t>Dupin d.o.o.</t>
  </si>
  <si>
    <t>www.deliiicije.com</t>
  </si>
  <si>
    <t>deliiicije@deliiicije.ccom</t>
  </si>
  <si>
    <t>01 249 80 29</t>
  </si>
  <si>
    <t>31062429092</t>
  </si>
  <si>
    <t>Samoborska cesta 85</t>
  </si>
  <si>
    <t>Kurtović</t>
  </si>
  <si>
    <t>goran.kurtovic@dupin.hr</t>
  </si>
  <si>
    <t>31/08/1983.</t>
  </si>
  <si>
    <t>Sava osiguranje d.d.</t>
  </si>
  <si>
    <t>https://www.sava-osiguranje.hr/</t>
  </si>
  <si>
    <t>e.osiguranje@sava-osiguranje.hr</t>
  </si>
  <si>
    <t>098 236 291</t>
  </si>
  <si>
    <t>45237012600</t>
  </si>
  <si>
    <t>Savska 144A</t>
  </si>
  <si>
    <t>Vrbić</t>
  </si>
  <si>
    <t>kresimir.vrbic@sava-osiguranje.hr</t>
  </si>
  <si>
    <t>10.4.1967.</t>
  </si>
  <si>
    <t>Fliba d.o.o.</t>
  </si>
  <si>
    <r>
      <rPr>
        <color rgb="FF1155CC"/>
      </rPr>
      <t>http://www.emmezeta.hr</t>
    </r>
    <r>
      <rPr/>
      <t xml:space="preserve"> </t>
    </r>
  </si>
  <si>
    <t>ws_podrska@emmezeta.hr</t>
  </si>
  <si>
    <t>072 202022    385 1 6595 673</t>
  </si>
  <si>
    <t>30777726033</t>
  </si>
  <si>
    <t>Gospodarska 5, Donji Stupnik, 10255</t>
  </si>
  <si>
    <t>Turčinov</t>
  </si>
  <si>
    <t>i.turcinov@emmezeta.hr</t>
  </si>
  <si>
    <t>385 98 9806 106</t>
  </si>
  <si>
    <t>ne žele safe shop, imaju trustprofile</t>
  </si>
  <si>
    <t>Pluma studios d.o.o.</t>
  </si>
  <si>
    <t xml:space="preserve">www.tvornica-snova.hr </t>
  </si>
  <si>
    <t xml:space="preserve">info@tvornica-snova.hr </t>
  </si>
  <si>
    <t>0977444111</t>
  </si>
  <si>
    <t>47654705597</t>
  </si>
  <si>
    <t xml:space="preserve">Nova cesta 151, Zagreb </t>
  </si>
  <si>
    <t>Galetić</t>
  </si>
  <si>
    <t>goran.galetic@tvornica-snova.hr</t>
  </si>
  <si>
    <t>099/3720999</t>
  </si>
  <si>
    <t>26.06.1979</t>
  </si>
  <si>
    <t>Andrijana</t>
  </si>
  <si>
    <t>Majstorović</t>
  </si>
  <si>
    <t>a.majstorovic@tvornica-snova.hr</t>
  </si>
  <si>
    <t xml:space="preserve">dogovoreno poslati mail 28.1. s više info </t>
  </si>
  <si>
    <t xml:space="preserve">Prilika dana d.o.o. </t>
  </si>
  <si>
    <t xml:space="preserve">www.ponudadana.hr </t>
  </si>
  <si>
    <t>info@ponudadana.hr</t>
  </si>
  <si>
    <t>01 6522322</t>
  </si>
  <si>
    <t>43728211079</t>
  </si>
  <si>
    <t>Zvečajska 17, 10000 Zagreb</t>
  </si>
  <si>
    <t>kristina.pavic@ponudadana.hr</t>
  </si>
  <si>
    <t>092 261 2404</t>
  </si>
  <si>
    <t>24.2.1998</t>
  </si>
  <si>
    <t>Kos</t>
  </si>
  <si>
    <t>maja.kos@ponudadana.hr</t>
  </si>
  <si>
    <t>091 7356 419</t>
  </si>
  <si>
    <t>Meblo trade d.o.o.</t>
  </si>
  <si>
    <t>meblo.hr</t>
  </si>
  <si>
    <t>shop@meblo.hr</t>
  </si>
  <si>
    <t>385 1 6596 405</t>
  </si>
  <si>
    <t>61918537027</t>
  </si>
  <si>
    <t>Remetinečka 137, Zagreb</t>
  </si>
  <si>
    <t>Morena</t>
  </si>
  <si>
    <t>Negovetić</t>
  </si>
  <si>
    <t>morena.negovetic@meblo.hr</t>
  </si>
  <si>
    <t>099/3177888</t>
  </si>
  <si>
    <t>Surian</t>
  </si>
  <si>
    <t>ivan.surian@meblo.hr</t>
  </si>
  <si>
    <t>099 69 26 967</t>
  </si>
  <si>
    <t>poslana ponuda za premum članarinu 9.12.2020.
downgrade na punopravni 12.1.2022.</t>
  </si>
  <si>
    <t>www.mall.hr</t>
  </si>
  <si>
    <t>01 670 0321</t>
  </si>
  <si>
    <t>Ulica grada Vukovara 269D, Zagreb</t>
  </si>
  <si>
    <t>Šlatka</t>
  </si>
  <si>
    <t>kristina.slatka@mall.hr</t>
  </si>
  <si>
    <t>traže na mail info@altruist.hr da se šalju obavijesti vezane uz financije/ponude za plaćanje i slično</t>
  </si>
  <si>
    <t>Altruist d.o.o.</t>
  </si>
  <si>
    <t>babyland.hr</t>
  </si>
  <si>
    <t>info@altruist.hr</t>
  </si>
  <si>
    <t>042 4888 558</t>
  </si>
  <si>
    <t>41889247574</t>
  </si>
  <si>
    <t>Trstenjakova 1/a, Varaždin</t>
  </si>
  <si>
    <t>Paulina</t>
  </si>
  <si>
    <t>Kefelja</t>
  </si>
  <si>
    <t>paulina@altruist.hr</t>
  </si>
  <si>
    <t>Maritimo Recycling</t>
  </si>
  <si>
    <t>www.maritimo-recycling.com</t>
  </si>
  <si>
    <t>info@maritimo-recycling.com</t>
  </si>
  <si>
    <t>88901190107</t>
  </si>
  <si>
    <t xml:space="preserve">Eugena Kumicica 19, 20000 DUbrovnik </t>
  </si>
  <si>
    <t>Žitnik</t>
  </si>
  <si>
    <t>maritimorecycling@gmail.com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</si>
</sst>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yy"/>
    <numFmt numFmtId="167" formatCode="yyyy-mm-dd"/>
  </numFmts>
  <fonts count="21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rgb="FF222222"/>
      <name val="Arial"/>
    </font>
    <font>
      <sz val="11.0"/>
      <color rgb="FF222222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0000FF"/>
    </font>
    <font>
      <u/>
      <color rgb="FF222222"/>
      <name val="Arial"/>
    </font>
    <font>
      <b/>
      <u/>
      <color rgb="FF222222"/>
      <name val="Arial"/>
    </font>
    <font>
      <sz val="11.0"/>
      <color theme="1"/>
      <name val="Calibri"/>
    </font>
    <font>
      <sz val="11.0"/>
      <color rgb="FF1155CC"/>
      <name val="Calibri"/>
    </font>
    <font>
      <u/>
      <sz val="11.0"/>
      <color rgb="FF1155CC"/>
      <name val="Calibri"/>
    </font>
    <font>
      <u/>
      <sz val="10.0"/>
      <color rgb="FF000000"/>
    </font>
    <font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1ECEC"/>
        <bgColor rgb="FFF1ECEC"/>
      </patternFill>
    </fill>
    <fill>
      <patternFill patternType="solid">
        <fgColor rgb="FFFAF9F7"/>
        <bgColor rgb="FFFAF9F7"/>
      </patternFill>
    </fill>
  </fills>
  <borders count="4">
    <border/>
    <border>
      <right style="double">
        <color rgb="FF000000"/>
      </right>
    </border>
    <border>
      <left style="thin">
        <color rgb="FF000000"/>
      </left>
    </border>
    <border>
      <left style="double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16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49" xfId="0" applyAlignment="1" applyFont="1" applyNumberForma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0" fillId="0" fontId="4" numFmtId="166" xfId="0" applyAlignment="1" applyFont="1" applyNumberFormat="1">
      <alignment readingOrder="0"/>
    </xf>
    <xf borderId="1" fillId="0" fontId="4" numFmtId="0" xfId="0" applyAlignment="1" applyBorder="1" applyFont="1">
      <alignment readingOrder="0" shrinkToFit="0" wrapText="1"/>
    </xf>
    <xf borderId="0" fillId="3" fontId="5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166" xfId="0" applyAlignment="1" applyBorder="1" applyFont="1" applyNumberFormat="1">
      <alignment readingOrder="0"/>
    </xf>
    <xf borderId="1" fillId="0" fontId="4" numFmtId="0" xfId="0" applyBorder="1" applyFont="1"/>
    <xf quotePrefix="1" borderId="0" fillId="0" fontId="4" numFmtId="0" xfId="0" applyFont="1"/>
    <xf borderId="2" fillId="0" fontId="4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  <xf borderId="1" fillId="4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/>
    </xf>
    <xf borderId="1" fillId="0" fontId="4" numFmtId="167" xfId="0" applyAlignment="1" applyBorder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166" xfId="0" applyAlignment="1" applyFont="1" applyNumberFormat="1">
      <alignment readingOrder="0" shrinkToFit="0" wrapText="0"/>
    </xf>
    <xf borderId="1" fillId="0" fontId="4" numFmtId="167" xfId="0" applyAlignment="1" applyBorder="1" applyFont="1" applyNumberFormat="1">
      <alignment readingOrder="0" shrinkToFit="0" wrapText="0"/>
    </xf>
    <xf borderId="0" fillId="3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5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shrinkToFit="0" wrapText="0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1" fillId="0" fontId="4" numFmtId="166" xfId="0" applyAlignment="1" applyBorder="1" applyFont="1" applyNumberFormat="1">
      <alignment readingOrder="0" shrinkToFit="0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1" fillId="0" fontId="12" numFmtId="0" xfId="0" applyAlignment="1" applyBorder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horizontal="right" vertical="bottom"/>
    </xf>
    <xf borderId="1" fillId="4" fontId="12" numFmtId="166" xfId="0" applyAlignment="1" applyBorder="1" applyFont="1" applyNumberFormat="1">
      <alignment horizontal="right" vertical="bottom"/>
    </xf>
    <xf borderId="1" fillId="4" fontId="4" numFmtId="166" xfId="0" applyAlignment="1" applyBorder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/>
    </xf>
    <xf borderId="1" fillId="0" fontId="4" numFmtId="165" xfId="0" applyAlignment="1" applyBorder="1" applyFont="1" applyNumberFormat="1">
      <alignment readingOrder="0" shrinkToFit="0" wrapText="0"/>
    </xf>
    <xf borderId="0" fillId="0" fontId="4" numFmtId="165" xfId="0" applyAlignment="1" applyFont="1" applyNumberFormat="1">
      <alignment readingOrder="0" shrinkToFit="0" wrapText="0"/>
    </xf>
    <xf borderId="0" fillId="0" fontId="4" numFmtId="49" xfId="0" applyAlignment="1" applyFont="1" applyNumberFormat="1">
      <alignment readingOrder="0"/>
    </xf>
    <xf borderId="0" fillId="3" fontId="4" numFmtId="0" xfId="0" applyAlignment="1" applyFont="1">
      <alignment readingOrder="0"/>
    </xf>
    <xf borderId="1" fillId="3" fontId="4" numFmtId="166" xfId="0" applyAlignment="1" applyBorder="1" applyFont="1" applyNumberFormat="1">
      <alignment readingOrder="0"/>
    </xf>
    <xf borderId="0" fillId="2" fontId="3" numFmtId="49" xfId="0" applyAlignment="1" applyFont="1" applyNumberFormat="1">
      <alignment horizontal="right" readingOrder="0" shrinkToFit="0" vertical="center" wrapText="1"/>
    </xf>
    <xf borderId="0" fillId="0" fontId="4" numFmtId="49" xfId="0" applyAlignment="1" applyFont="1" applyNumberFormat="1">
      <alignment horizontal="right" readingOrder="0"/>
    </xf>
    <xf borderId="0" fillId="4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/>
    </xf>
    <xf borderId="0" fillId="3" fontId="9" numFmtId="165" xfId="0" applyAlignment="1" applyFont="1" applyNumberFormat="1">
      <alignment readingOrder="0"/>
    </xf>
    <xf borderId="0" fillId="3" fontId="14" numFmtId="0" xfId="0" applyAlignment="1" applyFont="1">
      <alignment readingOrder="0"/>
    </xf>
    <xf borderId="0" fillId="3" fontId="15" numFmtId="0" xfId="0" applyFont="1"/>
    <xf borderId="0" fillId="2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9" xfId="0" applyAlignment="1" applyFont="1" applyNumberFormat="1">
      <alignment readingOrder="0" shrinkToFit="0" wrapText="0"/>
    </xf>
    <xf borderId="0" fillId="4" fontId="4" numFmtId="0" xfId="0" applyAlignment="1" applyFont="1">
      <alignment readingOrder="0" shrinkToFit="0" wrapText="0"/>
    </xf>
    <xf borderId="1" fillId="4" fontId="4" numFmtId="166" xfId="0" applyAlignment="1" applyBorder="1" applyFont="1" applyNumberFormat="1">
      <alignment readingOrder="0" shrinkToFit="0" wrapText="0"/>
    </xf>
    <xf borderId="0" fillId="4" fontId="4" numFmtId="166" xfId="0" applyAlignment="1" applyFont="1" applyNumberFormat="1">
      <alignment readingOrder="0"/>
    </xf>
    <xf borderId="0" fillId="4" fontId="4" numFmtId="0" xfId="0" applyFont="1"/>
    <xf borderId="1" fillId="4" fontId="4" numFmtId="0" xfId="0" applyBorder="1" applyFont="1"/>
    <xf borderId="0" fillId="3" fontId="16" numFmtId="0" xfId="0" applyAlignment="1" applyFont="1">
      <alignment shrinkToFit="0" wrapText="1"/>
    </xf>
    <xf borderId="0" fillId="3" fontId="17" numFmtId="0" xfId="0" applyAlignment="1" applyFont="1">
      <alignment horizontal="center" readingOrder="0" shrinkToFit="0" wrapText="1"/>
    </xf>
    <xf borderId="0" fillId="3" fontId="17" numFmtId="0" xfId="0" applyAlignment="1" applyFont="1">
      <alignment horizontal="center" shrinkToFit="0" wrapText="1"/>
    </xf>
    <xf borderId="0" fillId="3" fontId="18" numFmtId="0" xfId="0" applyAlignment="1" applyFont="1">
      <alignment shrinkToFit="0" wrapText="1"/>
    </xf>
    <xf borderId="1" fillId="4" fontId="4" numFmtId="165" xfId="0" applyAlignment="1" applyBorder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0" numFmtId="0" xfId="0" applyAlignment="1" applyFont="1">
      <alignment readingOrder="0" shrinkToFit="0" wrapText="1"/>
    </xf>
    <xf borderId="3" fillId="4" fontId="4" numFmtId="0" xfId="0" applyAlignment="1" applyBorder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3" fontId="0" numFmtId="0" xfId="0" applyAlignment="1" applyFont="1">
      <alignment horizontal="left" readingOrder="0" shrinkToFit="0" wrapText="1"/>
    </xf>
    <xf borderId="0" fillId="3" fontId="5" numFmtId="166" xfId="0" applyAlignment="1" applyFont="1" applyNumberFormat="1">
      <alignment horizontal="right" readingOrder="0"/>
    </xf>
    <xf borderId="1" fillId="4" fontId="4" numFmtId="167" xfId="0" applyAlignment="1" applyBorder="1" applyFont="1" applyNumberFormat="1">
      <alignment readingOrder="0"/>
    </xf>
    <xf borderId="0" fillId="4" fontId="5" numFmtId="0" xfId="0" applyAlignment="1" applyFont="1">
      <alignment horizontal="left" readingOrder="0"/>
    </xf>
    <xf borderId="0" fillId="0" fontId="4" numFmtId="49" xfId="0" applyFont="1" applyNumberFormat="1"/>
    <xf borderId="0" fillId="0" fontId="4" numFmtId="49" xfId="0" applyAlignment="1" applyFont="1" applyNumberFormat="1">
      <alignment shrinkToFit="0" wrapText="0"/>
    </xf>
    <xf borderId="0" fillId="3" fontId="4" numFmtId="0" xfId="0" applyAlignment="1" applyFont="1">
      <alignment readingOrder="0" shrinkToFit="0" wrapText="0"/>
    </xf>
    <xf borderId="0" fillId="3" fontId="4" numFmtId="166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0" fontId="12" numFmtId="0" xfId="0" applyAlignment="1" applyFont="1">
      <alignment horizontal="right" vertical="bottom"/>
    </xf>
    <xf borderId="1" fillId="0" fontId="12" numFmtId="0" xfId="0" applyAlignment="1" applyBorder="1" applyFont="1">
      <alignment vertical="bottom"/>
    </xf>
    <xf borderId="1" fillId="3" fontId="9" numFmtId="0" xfId="0" applyAlignment="1" applyBorder="1" applyFont="1">
      <alignment readingOrder="0"/>
    </xf>
    <xf borderId="0" fillId="3" fontId="20" numFmtId="0" xfId="0" applyAlignment="1" applyFont="1">
      <alignment horizontal="left" readingOrder="0" shrinkToFit="0" vertical="top" wrapText="0"/>
    </xf>
    <xf borderId="1" fillId="4" fontId="4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1"/>
    </xf>
    <xf borderId="0" fillId="0" fontId="4" numFmtId="1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erius.co/" TargetMode="External"/><Relationship Id="rId42" Type="http://schemas.openxmlformats.org/officeDocument/2006/relationships/hyperlink" Target="https://bind.hr/" TargetMode="External"/><Relationship Id="rId41" Type="http://schemas.openxmlformats.org/officeDocument/2006/relationships/hyperlink" Target="http://okosokolovo.hr/" TargetMode="External"/><Relationship Id="rId44" Type="http://schemas.openxmlformats.org/officeDocument/2006/relationships/hyperlink" Target="https://scoreminds.com/" TargetMode="External"/><Relationship Id="rId43" Type="http://schemas.openxmlformats.org/officeDocument/2006/relationships/hyperlink" Target="https://totebot.ai/" TargetMode="External"/><Relationship Id="rId46" Type="http://schemas.openxmlformats.org/officeDocument/2006/relationships/hyperlink" Target="https://leptir.co/" TargetMode="External"/><Relationship Id="rId45" Type="http://schemas.openxmlformats.org/officeDocument/2006/relationships/hyperlink" Target="https://www.redok.hr/" TargetMode="External"/><Relationship Id="rId1" Type="http://schemas.openxmlformats.org/officeDocument/2006/relationships/hyperlink" Target="http://www.sysbee.net/" TargetMode="External"/><Relationship Id="rId2" Type="http://schemas.openxmlformats.org/officeDocument/2006/relationships/hyperlink" Target="https://lloyds-digital.com/" TargetMode="External"/><Relationship Id="rId3" Type="http://schemas.openxmlformats.org/officeDocument/2006/relationships/hyperlink" Target="https://www.mbe.hr/" TargetMode="External"/><Relationship Id="rId4" Type="http://schemas.openxmlformats.org/officeDocument/2006/relationships/hyperlink" Target="https://www.klikeri.hr/" TargetMode="External"/><Relationship Id="rId9" Type="http://schemas.openxmlformats.org/officeDocument/2006/relationships/hyperlink" Target="https://monri.hr/" TargetMode="External"/><Relationship Id="rId48" Type="http://schemas.openxmlformats.org/officeDocument/2006/relationships/hyperlink" Target="http://www.electrocoin.eu/" TargetMode="External"/><Relationship Id="rId47" Type="http://schemas.openxmlformats.org/officeDocument/2006/relationships/hyperlink" Target="https://www.b2bintersales.com/" TargetMode="External"/><Relationship Id="rId49" Type="http://schemas.openxmlformats.org/officeDocument/2006/relationships/hyperlink" Target="http://www.electrocoin.eu/" TargetMode="External"/><Relationship Id="rId5" Type="http://schemas.openxmlformats.org/officeDocument/2006/relationships/hyperlink" Target="http://playdigital.hr/hr" TargetMode="External"/><Relationship Id="rId6" Type="http://schemas.openxmlformats.org/officeDocument/2006/relationships/hyperlink" Target="https://www.seyfor.com/" TargetMode="External"/><Relationship Id="rId7" Type="http://schemas.openxmlformats.org/officeDocument/2006/relationships/hyperlink" Target="https://haiku-communications.com/" TargetMode="External"/><Relationship Id="rId8" Type="http://schemas.openxmlformats.org/officeDocument/2006/relationships/hyperlink" Target="https://gls-group.com/HR/hr/home/" TargetMode="External"/><Relationship Id="rId31" Type="http://schemas.openxmlformats.org/officeDocument/2006/relationships/hyperlink" Target="https://www.glami.hr/" TargetMode="External"/><Relationship Id="rId30" Type="http://schemas.openxmlformats.org/officeDocument/2006/relationships/hyperlink" Target="https://cartum.io/hr/" TargetMode="External"/><Relationship Id="rId33" Type="http://schemas.openxmlformats.org/officeDocument/2006/relationships/hyperlink" Target="http://www.x-express.ba" TargetMode="External"/><Relationship Id="rId32" Type="http://schemas.openxmlformats.org/officeDocument/2006/relationships/hyperlink" Target="http://www.encoremedia.hr/" TargetMode="External"/><Relationship Id="rId35" Type="http://schemas.openxmlformats.org/officeDocument/2006/relationships/hyperlink" Target="https://netgen.io/" TargetMode="External"/><Relationship Id="rId34" Type="http://schemas.openxmlformats.org/officeDocument/2006/relationships/hyperlink" Target="https://nocapp.coreline.agency/hr/home/" TargetMode="External"/><Relationship Id="rId37" Type="http://schemas.openxmlformats.org/officeDocument/2006/relationships/hyperlink" Target="http://www.rhea.hr/" TargetMode="External"/><Relationship Id="rId36" Type="http://schemas.openxmlformats.org/officeDocument/2006/relationships/hyperlink" Target="http://www.sales-snap.com/" TargetMode="External"/><Relationship Id="rId39" Type="http://schemas.openxmlformats.org/officeDocument/2006/relationships/hyperlink" Target="https://regula.consent.hr/" TargetMode="External"/><Relationship Id="rId38" Type="http://schemas.openxmlformats.org/officeDocument/2006/relationships/hyperlink" Target="https://metakocka.si/" TargetMode="External"/><Relationship Id="rId20" Type="http://schemas.openxmlformats.org/officeDocument/2006/relationships/hyperlink" Target="http://decta.com" TargetMode="External"/><Relationship Id="rId22" Type="http://schemas.openxmlformats.org/officeDocument/2006/relationships/hyperlink" Target="https://fira.finance" TargetMode="External"/><Relationship Id="rId21" Type="http://schemas.openxmlformats.org/officeDocument/2006/relationships/hyperlink" Target="http://www.webmarketing.hr" TargetMode="External"/><Relationship Id="rId24" Type="http://schemas.openxmlformats.org/officeDocument/2006/relationships/hyperlink" Target="https://vtex.com" TargetMode="External"/><Relationship Id="rId23" Type="http://schemas.openxmlformats.org/officeDocument/2006/relationships/hyperlink" Target="http://parhelion.hr" TargetMode="External"/><Relationship Id="rId26" Type="http://schemas.openxmlformats.org/officeDocument/2006/relationships/hyperlink" Target="https://escapestudio.hr/" TargetMode="External"/><Relationship Id="rId25" Type="http://schemas.openxmlformats.org/officeDocument/2006/relationships/hyperlink" Target="https://thingsolver.com/" TargetMode="External"/><Relationship Id="rId28" Type="http://schemas.openxmlformats.org/officeDocument/2006/relationships/hyperlink" Target="https://www.corvuspay.com/" TargetMode="External"/><Relationship Id="rId27" Type="http://schemas.openxmlformats.org/officeDocument/2006/relationships/hyperlink" Target="https://www.virtualna-tvornica.com/" TargetMode="External"/><Relationship Id="rId29" Type="http://schemas.openxmlformats.org/officeDocument/2006/relationships/hyperlink" Target="http://www.agilo.com" TargetMode="External"/><Relationship Id="rId51" Type="http://schemas.openxmlformats.org/officeDocument/2006/relationships/hyperlink" Target="https://38films.eu/" TargetMode="External"/><Relationship Id="rId50" Type="http://schemas.openxmlformats.org/officeDocument/2006/relationships/hyperlink" Target="https://storenest.hr/" TargetMode="External"/><Relationship Id="rId53" Type="http://schemas.openxmlformats.org/officeDocument/2006/relationships/hyperlink" Target="https://alpha-prijevodi.hr" TargetMode="External"/><Relationship Id="rId52" Type="http://schemas.openxmlformats.org/officeDocument/2006/relationships/hyperlink" Target="https://warehouse.hr/" TargetMode="External"/><Relationship Id="rId11" Type="http://schemas.openxmlformats.org/officeDocument/2006/relationships/hyperlink" Target="https://www.nivago.hr/" TargetMode="External"/><Relationship Id="rId55" Type="http://schemas.openxmlformats.org/officeDocument/2006/relationships/hyperlink" Target="https://prolo.hr/" TargetMode="External"/><Relationship Id="rId10" Type="http://schemas.openxmlformats.org/officeDocument/2006/relationships/hyperlink" Target="http://www.avantis.hr/" TargetMode="External"/><Relationship Id="rId54" Type="http://schemas.openxmlformats.org/officeDocument/2006/relationships/hyperlink" Target="https://pakirko.hr/" TargetMode="External"/><Relationship Id="rId13" Type="http://schemas.openxmlformats.org/officeDocument/2006/relationships/hyperlink" Target="http://euroart93.hr" TargetMode="External"/><Relationship Id="rId57" Type="http://schemas.openxmlformats.org/officeDocument/2006/relationships/hyperlink" Target="http://www.e-sustavi.hr/" TargetMode="External"/><Relationship Id="rId12" Type="http://schemas.openxmlformats.org/officeDocument/2006/relationships/hyperlink" Target="https://www.kabi.info/" TargetMode="External"/><Relationship Id="rId56" Type="http://schemas.openxmlformats.org/officeDocument/2006/relationships/hyperlink" Target="http://www.shopamine.com/" TargetMode="External"/><Relationship Id="rId15" Type="http://schemas.openxmlformats.org/officeDocument/2006/relationships/hyperlink" Target="https://archibrix.com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plus.hr/" TargetMode="External"/><Relationship Id="rId58" Type="http://schemas.openxmlformats.org/officeDocument/2006/relationships/hyperlink" Target="http://www.modusinfinitum.eu/" TargetMode="External"/><Relationship Id="rId17" Type="http://schemas.openxmlformats.org/officeDocument/2006/relationships/hyperlink" Target="http://www.asendia.at" TargetMode="External"/><Relationship Id="rId16" Type="http://schemas.openxmlformats.org/officeDocument/2006/relationships/hyperlink" Target="https://www.vivnetworks.com/hr/" TargetMode="External"/><Relationship Id="rId19" Type="http://schemas.openxmlformats.org/officeDocument/2006/relationships/hyperlink" Target="http://www.megakuponi.hr" TargetMode="External"/><Relationship Id="rId18" Type="http://schemas.openxmlformats.org/officeDocument/2006/relationships/hyperlink" Target="https://legasagency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romopop.hr/" TargetMode="External"/><Relationship Id="rId42" Type="http://schemas.openxmlformats.org/officeDocument/2006/relationships/hyperlink" Target="https://www.limes.hr/" TargetMode="External"/><Relationship Id="rId41" Type="http://schemas.openxmlformats.org/officeDocument/2006/relationships/hyperlink" Target="https://www.links.hr/hr" TargetMode="External"/><Relationship Id="rId44" Type="http://schemas.openxmlformats.org/officeDocument/2006/relationships/hyperlink" Target="http://www.kiosk24.hr/kiosk" TargetMode="External"/><Relationship Id="rId43" Type="http://schemas.openxmlformats.org/officeDocument/2006/relationships/hyperlink" Target="http://www.mobia.hr/" TargetMode="External"/><Relationship Id="rId46" Type="http://schemas.openxmlformats.org/officeDocument/2006/relationships/hyperlink" Target="https://www.pcelarska-oprema.hr/" TargetMode="External"/><Relationship Id="rId45" Type="http://schemas.openxmlformats.org/officeDocument/2006/relationships/hyperlink" Target="https://kera-term.hr/" TargetMode="External"/><Relationship Id="rId107" Type="http://schemas.openxmlformats.org/officeDocument/2006/relationships/hyperlink" Target="http://www.autotepisi.hr/" TargetMode="External"/><Relationship Id="rId106" Type="http://schemas.openxmlformats.org/officeDocument/2006/relationships/hyperlink" Target="http://milwaukeeshop.tid-extra.hr/" TargetMode="External"/><Relationship Id="rId105" Type="http://schemas.openxmlformats.org/officeDocument/2006/relationships/hyperlink" Target="mailto:info@ledshop.hr" TargetMode="External"/><Relationship Id="rId104" Type="http://schemas.openxmlformats.org/officeDocument/2006/relationships/hyperlink" Target="https://www.gavroprom.hr/" TargetMode="External"/><Relationship Id="rId109" Type="http://schemas.openxmlformats.org/officeDocument/2006/relationships/hyperlink" Target="http://www.bukal.hr/" TargetMode="External"/><Relationship Id="rId108" Type="http://schemas.openxmlformats.org/officeDocument/2006/relationships/hyperlink" Target="http://www.lumaekskluziv.hr/" TargetMode="External"/><Relationship Id="rId48" Type="http://schemas.openxmlformats.org/officeDocument/2006/relationships/hyperlink" Target="http://www.ljekarne-plantak.hr/" TargetMode="External"/><Relationship Id="rId47" Type="http://schemas.openxmlformats.org/officeDocument/2006/relationships/hyperlink" Target="https://antikvarijat-libar.com/" TargetMode="External"/><Relationship Id="rId49" Type="http://schemas.openxmlformats.org/officeDocument/2006/relationships/hyperlink" Target="https://www.wineandmore.com/" TargetMode="External"/><Relationship Id="rId103" Type="http://schemas.openxmlformats.org/officeDocument/2006/relationships/hyperlink" Target="http://www.oetker-shop.hr/" TargetMode="External"/><Relationship Id="rId102" Type="http://schemas.openxmlformats.org/officeDocument/2006/relationships/hyperlink" Target="http://croatianmint.hr/" TargetMode="External"/><Relationship Id="rId101" Type="http://schemas.openxmlformats.org/officeDocument/2006/relationships/hyperlink" Target="http://hedonist-shop.hr/" TargetMode="External"/><Relationship Id="rId100" Type="http://schemas.openxmlformats.org/officeDocument/2006/relationships/hyperlink" Target="http://www.ehome.hr/" TargetMode="External"/><Relationship Id="rId31" Type="http://schemas.openxmlformats.org/officeDocument/2006/relationships/hyperlink" Target="http://www.findit.hr/" TargetMode="External"/><Relationship Id="rId30" Type="http://schemas.openxmlformats.org/officeDocument/2006/relationships/hyperlink" Target="http://avebiangels.com/" TargetMode="External"/><Relationship Id="rId33" Type="http://schemas.openxmlformats.org/officeDocument/2006/relationships/hyperlink" Target="http://www.saramondo.com/" TargetMode="External"/><Relationship Id="rId32" Type="http://schemas.openxmlformats.org/officeDocument/2006/relationships/hyperlink" Target="https://www.galileomen.com/hr/" TargetMode="External"/><Relationship Id="rId35" Type="http://schemas.openxmlformats.org/officeDocument/2006/relationships/hyperlink" Target="http://mysmartshop.hr/" TargetMode="External"/><Relationship Id="rId34" Type="http://schemas.openxmlformats.org/officeDocument/2006/relationships/hyperlink" Target="http://martimex.hr/" TargetMode="External"/><Relationship Id="rId37" Type="http://schemas.openxmlformats.org/officeDocument/2006/relationships/hyperlink" Target="http://www.babycenter.hr" TargetMode="External"/><Relationship Id="rId36" Type="http://schemas.openxmlformats.org/officeDocument/2006/relationships/hyperlink" Target="https://www.foreo.com/" TargetMode="External"/><Relationship Id="rId39" Type="http://schemas.openxmlformats.org/officeDocument/2006/relationships/hyperlink" Target="http://www.vitayummy.hr/" TargetMode="External"/><Relationship Id="rId38" Type="http://schemas.openxmlformats.org/officeDocument/2006/relationships/hyperlink" Target="http://www.magiswall.hr" TargetMode="External"/><Relationship Id="rId20" Type="http://schemas.openxmlformats.org/officeDocument/2006/relationships/hyperlink" Target="https://www.centarzlata.com/" TargetMode="External"/><Relationship Id="rId22" Type="http://schemas.openxmlformats.org/officeDocument/2006/relationships/hyperlink" Target="http://kupigume.hr/" TargetMode="External"/><Relationship Id="rId21" Type="http://schemas.openxmlformats.org/officeDocument/2006/relationships/hyperlink" Target="https://www.50nijansi.hr" TargetMode="External"/><Relationship Id="rId24" Type="http://schemas.openxmlformats.org/officeDocument/2006/relationships/hyperlink" Target="http://gsmshop.hr/" TargetMode="External"/><Relationship Id="rId23" Type="http://schemas.openxmlformats.org/officeDocument/2006/relationships/hyperlink" Target="https://rayofsunshine.eu/" TargetMode="External"/><Relationship Id="rId26" Type="http://schemas.openxmlformats.org/officeDocument/2006/relationships/hyperlink" Target="http://webshop.pod.hr/" TargetMode="External"/><Relationship Id="rId25" Type="http://schemas.openxmlformats.org/officeDocument/2006/relationships/hyperlink" Target="http://stubmar.hr/" TargetMode="External"/><Relationship Id="rId28" Type="http://schemas.openxmlformats.org/officeDocument/2006/relationships/hyperlink" Target="http://www-terrapiaskincare.com/" TargetMode="External"/><Relationship Id="rId27" Type="http://schemas.openxmlformats.org/officeDocument/2006/relationships/hyperlink" Target="http://double-m.hr/" TargetMode="External"/><Relationship Id="rId29" Type="http://schemas.openxmlformats.org/officeDocument/2006/relationships/hyperlink" Target="http://www.unikatni-pokloni.com/" TargetMode="External"/><Relationship Id="rId95" Type="http://schemas.openxmlformats.org/officeDocument/2006/relationships/hyperlink" Target="mailto:info@bentastic.hr" TargetMode="External"/><Relationship Id="rId94" Type="http://schemas.openxmlformats.org/officeDocument/2006/relationships/hyperlink" Target="https://kupaona-rea.hr/" TargetMode="External"/><Relationship Id="rId97" Type="http://schemas.openxmlformats.org/officeDocument/2006/relationships/hyperlink" Target="mailto:info@bacelic.hr" TargetMode="External"/><Relationship Id="rId96" Type="http://schemas.openxmlformats.org/officeDocument/2006/relationships/hyperlink" Target="http://bacelic.hr/" TargetMode="External"/><Relationship Id="rId11" Type="http://schemas.openxmlformats.org/officeDocument/2006/relationships/hyperlink" Target="http://virkusicshop.com/" TargetMode="External"/><Relationship Id="rId99" Type="http://schemas.openxmlformats.org/officeDocument/2006/relationships/hyperlink" Target="https://medjugorje.store/" TargetMode="External"/><Relationship Id="rId10" Type="http://schemas.openxmlformats.org/officeDocument/2006/relationships/hyperlink" Target="https://klimatizacija.hr/" TargetMode="External"/><Relationship Id="rId98" Type="http://schemas.openxmlformats.org/officeDocument/2006/relationships/hyperlink" Target="http://advena.hr/" TargetMode="External"/><Relationship Id="rId13" Type="http://schemas.openxmlformats.org/officeDocument/2006/relationships/hyperlink" Target="http://www.hedera.hr/" TargetMode="External"/><Relationship Id="rId12" Type="http://schemas.openxmlformats.org/officeDocument/2006/relationships/hyperlink" Target="https://matrex.hr/" TargetMode="External"/><Relationship Id="rId91" Type="http://schemas.openxmlformats.org/officeDocument/2006/relationships/hyperlink" Target="https://www.naturavita.hr/" TargetMode="External"/><Relationship Id="rId90" Type="http://schemas.openxmlformats.org/officeDocument/2006/relationships/hyperlink" Target="http://www.zdravdorucak.hr/" TargetMode="External"/><Relationship Id="rId93" Type="http://schemas.openxmlformats.org/officeDocument/2006/relationships/hyperlink" Target="http://shop.pipi.com.hr/" TargetMode="External"/><Relationship Id="rId92" Type="http://schemas.openxmlformats.org/officeDocument/2006/relationships/hyperlink" Target="https://humananova.org/" TargetMode="External"/><Relationship Id="rId115" Type="http://schemas.openxmlformats.org/officeDocument/2006/relationships/drawing" Target="../drawings/drawing3.xml"/><Relationship Id="rId15" Type="http://schemas.openxmlformats.org/officeDocument/2006/relationships/hyperlink" Target="http://microteam.hr/" TargetMode="External"/><Relationship Id="rId110" Type="http://schemas.openxmlformats.org/officeDocument/2006/relationships/hyperlink" Target="http://www.zdravdorucak.hr/" TargetMode="External"/><Relationship Id="rId14" Type="http://schemas.openxmlformats.org/officeDocument/2006/relationships/hyperlink" Target="http://www.apipet.eu" TargetMode="External"/><Relationship Id="rId17" Type="http://schemas.openxmlformats.org/officeDocument/2006/relationships/hyperlink" Target="https://www.prima-namjestaj.hr/" TargetMode="External"/><Relationship Id="rId16" Type="http://schemas.openxmlformats.org/officeDocument/2006/relationships/hyperlink" Target="https://www.mall.hr/" TargetMode="External"/><Relationship Id="rId19" Type="http://schemas.openxmlformats.org/officeDocument/2006/relationships/hyperlink" Target="https://dalia-partyshop.hr/" TargetMode="External"/><Relationship Id="rId114" Type="http://schemas.openxmlformats.org/officeDocument/2006/relationships/hyperlink" Target="http://www.maritimo-recycling.com/" TargetMode="External"/><Relationship Id="rId18" Type="http://schemas.openxmlformats.org/officeDocument/2006/relationships/hyperlink" Target="https://majstorisvijeca.com/" TargetMode="External"/><Relationship Id="rId113" Type="http://schemas.openxmlformats.org/officeDocument/2006/relationships/hyperlink" Target="http://www.mall.hr/" TargetMode="External"/><Relationship Id="rId112" Type="http://schemas.openxmlformats.org/officeDocument/2006/relationships/hyperlink" Target="http://meblo.hr/" TargetMode="External"/><Relationship Id="rId111" Type="http://schemas.openxmlformats.org/officeDocument/2006/relationships/hyperlink" Target="http://www.emmezeta.hr/" TargetMode="External"/><Relationship Id="rId84" Type="http://schemas.openxmlformats.org/officeDocument/2006/relationships/hyperlink" Target="https://www.beautypharmacy.hr/hr/" TargetMode="External"/><Relationship Id="rId83" Type="http://schemas.openxmlformats.org/officeDocument/2006/relationships/hyperlink" Target="https://poolshop.hr/" TargetMode="External"/><Relationship Id="rId86" Type="http://schemas.openxmlformats.org/officeDocument/2006/relationships/hyperlink" Target="https://cocokids.hr/" TargetMode="External"/><Relationship Id="rId85" Type="http://schemas.openxmlformats.org/officeDocument/2006/relationships/hyperlink" Target="http://www.magicbaby.hr/" TargetMode="External"/><Relationship Id="rId88" Type="http://schemas.openxmlformats.org/officeDocument/2006/relationships/hyperlink" Target="https://www.aleta.hr/hr" TargetMode="External"/><Relationship Id="rId87" Type="http://schemas.openxmlformats.org/officeDocument/2006/relationships/hyperlink" Target="http://www.fabuspot.hr" TargetMode="External"/><Relationship Id="rId89" Type="http://schemas.openxmlformats.org/officeDocument/2006/relationships/hyperlink" Target="https://eljekarna24.hr/" TargetMode="External"/><Relationship Id="rId80" Type="http://schemas.openxmlformats.org/officeDocument/2006/relationships/hyperlink" Target="https://www.primatlogistika.hr/" TargetMode="External"/><Relationship Id="rId82" Type="http://schemas.openxmlformats.org/officeDocument/2006/relationships/hyperlink" Target="http://www.pcshop.hr" TargetMode="External"/><Relationship Id="rId81" Type="http://schemas.openxmlformats.org/officeDocument/2006/relationships/hyperlink" Target="http://merla.hr" TargetMode="External"/><Relationship Id="rId1" Type="http://schemas.openxmlformats.org/officeDocument/2006/relationships/hyperlink" Target="https://vidam.hr/" TargetMode="External"/><Relationship Id="rId2" Type="http://schemas.openxmlformats.org/officeDocument/2006/relationships/hyperlink" Target="https://webshop.tokic.hr/" TargetMode="External"/><Relationship Id="rId3" Type="http://schemas.openxmlformats.org/officeDocument/2006/relationships/hyperlink" Target="https://kompare.hr/" TargetMode="External"/><Relationship Id="rId4" Type="http://schemas.openxmlformats.org/officeDocument/2006/relationships/hyperlink" Target="http://www.ealati.hr/" TargetMode="External"/><Relationship Id="rId9" Type="http://schemas.openxmlformats.org/officeDocument/2006/relationships/hyperlink" Target="https://klima-uredaji.com.hr/" TargetMode="External"/><Relationship Id="rId5" Type="http://schemas.openxmlformats.org/officeDocument/2006/relationships/hyperlink" Target="http://www.divokoza.hr/" TargetMode="External"/><Relationship Id="rId6" Type="http://schemas.openxmlformats.org/officeDocument/2006/relationships/hyperlink" Target="http://www.ekupi.hr/" TargetMode="External"/><Relationship Id="rId7" Type="http://schemas.openxmlformats.org/officeDocument/2006/relationships/hyperlink" Target="https://epilderm.hr/shop/" TargetMode="External"/><Relationship Id="rId8" Type="http://schemas.openxmlformats.org/officeDocument/2006/relationships/hyperlink" Target="https://michel-promo.com/" TargetMode="External"/><Relationship Id="rId73" Type="http://schemas.openxmlformats.org/officeDocument/2006/relationships/hyperlink" Target="https://pinel-krk.hr/" TargetMode="External"/><Relationship Id="rId72" Type="http://schemas.openxmlformats.org/officeDocument/2006/relationships/hyperlink" Target="http://www.shop-medikor.hr/" TargetMode="External"/><Relationship Id="rId75" Type="http://schemas.openxmlformats.org/officeDocument/2006/relationships/hyperlink" Target="http://ghetaldus.hr/" TargetMode="External"/><Relationship Id="rId74" Type="http://schemas.openxmlformats.org/officeDocument/2006/relationships/hyperlink" Target="http://www.biovrece.com" TargetMode="External"/><Relationship Id="rId77" Type="http://schemas.openxmlformats.org/officeDocument/2006/relationships/hyperlink" Target="https://www.eliquid-shop.com" TargetMode="External"/><Relationship Id="rId76" Type="http://schemas.openxmlformats.org/officeDocument/2006/relationships/hyperlink" Target="http://www.termometal.hr" TargetMode="External"/><Relationship Id="rId79" Type="http://schemas.openxmlformats.org/officeDocument/2006/relationships/hyperlink" Target="https://biovitalis.hr/" TargetMode="External"/><Relationship Id="rId78" Type="http://schemas.openxmlformats.org/officeDocument/2006/relationships/hyperlink" Target="http://www.argentum.hr/" TargetMode="External"/><Relationship Id="rId71" Type="http://schemas.openxmlformats.org/officeDocument/2006/relationships/hyperlink" Target="http://www.frigo-ve.hr/" TargetMode="External"/><Relationship Id="rId70" Type="http://schemas.openxmlformats.org/officeDocument/2006/relationships/hyperlink" Target="https://cannavis.eu/hr/" TargetMode="External"/><Relationship Id="rId62" Type="http://schemas.openxmlformats.org/officeDocument/2006/relationships/hyperlink" Target="https://hespo.hr/" TargetMode="External"/><Relationship Id="rId61" Type="http://schemas.openxmlformats.org/officeDocument/2006/relationships/hyperlink" Target="http://nesesser.com" TargetMode="External"/><Relationship Id="rId64" Type="http://schemas.openxmlformats.org/officeDocument/2006/relationships/hyperlink" Target="http://www.coolpool.hr/" TargetMode="External"/><Relationship Id="rId63" Type="http://schemas.openxmlformats.org/officeDocument/2006/relationships/hyperlink" Target="http://www.autoprikolice.hr" TargetMode="External"/><Relationship Id="rId66" Type="http://schemas.openxmlformats.org/officeDocument/2006/relationships/hyperlink" Target="https://shop.princeza.hr/" TargetMode="External"/><Relationship Id="rId65" Type="http://schemas.openxmlformats.org/officeDocument/2006/relationships/hyperlink" Target="http://sarenikutak.hr" TargetMode="External"/><Relationship Id="rId68" Type="http://schemas.openxmlformats.org/officeDocument/2006/relationships/hyperlink" Target="http://bonami.cz/" TargetMode="External"/><Relationship Id="rId67" Type="http://schemas.openxmlformats.org/officeDocument/2006/relationships/hyperlink" Target="https://webshop.gligora.com/" TargetMode="External"/><Relationship Id="rId60" Type="http://schemas.openxmlformats.org/officeDocument/2006/relationships/hyperlink" Target="http://www.futura-it.hr/" TargetMode="External"/><Relationship Id="rId69" Type="http://schemas.openxmlformats.org/officeDocument/2006/relationships/hyperlink" Target="https://www.bonami.hr/" TargetMode="External"/><Relationship Id="rId51" Type="http://schemas.openxmlformats.org/officeDocument/2006/relationships/hyperlink" Target="https://webshop.afroditacosmetics.com/slo" TargetMode="External"/><Relationship Id="rId50" Type="http://schemas.openxmlformats.org/officeDocument/2006/relationships/hyperlink" Target="https://ccc.eu/hr/" TargetMode="External"/><Relationship Id="rId53" Type="http://schemas.openxmlformats.org/officeDocument/2006/relationships/hyperlink" Target="https://top-alati.hr/" TargetMode="External"/><Relationship Id="rId52" Type="http://schemas.openxmlformats.org/officeDocument/2006/relationships/hyperlink" Target="http://www.beherbie.com/" TargetMode="External"/><Relationship Id="rId55" Type="http://schemas.openxmlformats.org/officeDocument/2006/relationships/hyperlink" Target="http://www.keindl-sport.hr/" TargetMode="External"/><Relationship Id="rId54" Type="http://schemas.openxmlformats.org/officeDocument/2006/relationships/hyperlink" Target="http://www.lovin.hr/" TargetMode="External"/><Relationship Id="rId57" Type="http://schemas.openxmlformats.org/officeDocument/2006/relationships/hyperlink" Target="http://love-lashes.eu/" TargetMode="External"/><Relationship Id="rId56" Type="http://schemas.openxmlformats.org/officeDocument/2006/relationships/hyperlink" Target="https://namjestaj-mima.hr/" TargetMode="External"/><Relationship Id="rId59" Type="http://schemas.openxmlformats.org/officeDocument/2006/relationships/hyperlink" Target="http://becoolfull.hr/" TargetMode="External"/><Relationship Id="rId58" Type="http://schemas.openxmlformats.org/officeDocument/2006/relationships/hyperlink" Target="http://www.vinkopr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2" max="2" width="27.13"/>
    <col customWidth="1" min="6" max="6" width="8.38"/>
    <col customWidth="1" min="7" max="7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>
      <c r="A2" s="9" t="s">
        <v>25</v>
      </c>
      <c r="B2" s="10" t="s">
        <v>26</v>
      </c>
      <c r="D2" s="10" t="s">
        <v>27</v>
      </c>
      <c r="E2" s="11" t="s">
        <v>28</v>
      </c>
      <c r="F2" s="10">
        <f t="shared" ref="F2:F60" si="1">G2-TODAY()</f>
        <v>-1085</v>
      </c>
      <c r="G2" s="12">
        <v>45037.0</v>
      </c>
      <c r="H2" s="12">
        <v>43941.0</v>
      </c>
      <c r="I2" s="11" t="s">
        <v>29</v>
      </c>
      <c r="J2" s="13" t="s">
        <v>30</v>
      </c>
      <c r="K2" s="10" t="s">
        <v>31</v>
      </c>
      <c r="L2" s="10" t="s">
        <v>32</v>
      </c>
      <c r="M2" s="14" t="s">
        <v>33</v>
      </c>
      <c r="N2" s="11" t="s">
        <v>34</v>
      </c>
      <c r="O2" s="11" t="s">
        <v>35</v>
      </c>
      <c r="P2" s="11" t="s">
        <v>36</v>
      </c>
      <c r="Q2" s="11">
        <v>9.16020784E8</v>
      </c>
      <c r="R2" s="11">
        <v>8.4306628706E10</v>
      </c>
      <c r="S2" s="15" t="s">
        <v>37</v>
      </c>
    </row>
    <row r="3">
      <c r="A3" s="13"/>
      <c r="B3" s="10" t="s">
        <v>38</v>
      </c>
      <c r="D3" s="10" t="s">
        <v>39</v>
      </c>
      <c r="E3" s="11" t="s">
        <v>28</v>
      </c>
      <c r="F3" s="10">
        <f t="shared" si="1"/>
        <v>-1079</v>
      </c>
      <c r="G3" s="16">
        <v>45043.0</v>
      </c>
      <c r="H3" s="16">
        <v>44678.0</v>
      </c>
      <c r="I3" s="11" t="s">
        <v>29</v>
      </c>
      <c r="J3" s="13" t="s">
        <v>40</v>
      </c>
      <c r="K3" s="10" t="s">
        <v>41</v>
      </c>
      <c r="L3" s="10" t="s">
        <v>42</v>
      </c>
      <c r="M3" s="17" t="s">
        <v>43</v>
      </c>
      <c r="N3" s="11" t="s">
        <v>44</v>
      </c>
      <c r="O3" s="11" t="s">
        <v>45</v>
      </c>
      <c r="P3" s="11" t="s">
        <v>40</v>
      </c>
      <c r="Q3" s="11">
        <v>9.77935201E8</v>
      </c>
      <c r="R3" s="11">
        <v>7.8591228503E10</v>
      </c>
      <c r="S3" s="15" t="s">
        <v>46</v>
      </c>
      <c r="T3" s="11" t="s">
        <v>47</v>
      </c>
      <c r="U3" s="18" t="s">
        <v>48</v>
      </c>
      <c r="V3" s="11" t="s">
        <v>49</v>
      </c>
      <c r="W3" s="11">
        <v>9.5599578E8</v>
      </c>
      <c r="X3" s="11">
        <v>5.596134938E9</v>
      </c>
      <c r="Y3" s="11" t="s">
        <v>50</v>
      </c>
    </row>
    <row r="4">
      <c r="A4" s="9" t="s">
        <v>25</v>
      </c>
      <c r="B4" s="10" t="s">
        <v>51</v>
      </c>
      <c r="C4" s="19"/>
      <c r="D4" s="20" t="s">
        <v>52</v>
      </c>
      <c r="E4" s="11" t="s">
        <v>28</v>
      </c>
      <c r="F4" s="10">
        <f t="shared" si="1"/>
        <v>-1022</v>
      </c>
      <c r="G4" s="16">
        <v>45100.0</v>
      </c>
      <c r="H4" s="16">
        <v>44370.0</v>
      </c>
      <c r="I4" s="11" t="s">
        <v>29</v>
      </c>
      <c r="J4" s="13" t="s">
        <v>53</v>
      </c>
      <c r="K4" s="10" t="s">
        <v>54</v>
      </c>
      <c r="L4" s="10" t="s">
        <v>55</v>
      </c>
      <c r="M4" s="17" t="s">
        <v>56</v>
      </c>
      <c r="N4" s="11" t="s">
        <v>57</v>
      </c>
      <c r="O4" s="11" t="s">
        <v>58</v>
      </c>
      <c r="P4" s="11" t="s">
        <v>59</v>
      </c>
      <c r="Q4" s="11" t="s">
        <v>60</v>
      </c>
      <c r="R4" s="11">
        <v>8.1393731865E10</v>
      </c>
      <c r="S4" s="15" t="s">
        <v>61</v>
      </c>
      <c r="T4" s="11" t="s">
        <v>62</v>
      </c>
      <c r="U4" s="18" t="s">
        <v>63</v>
      </c>
      <c r="V4" s="11" t="s">
        <v>64</v>
      </c>
      <c r="W4" s="11" t="s">
        <v>65</v>
      </c>
      <c r="X4" s="11">
        <v>4.0072652316E10</v>
      </c>
      <c r="Y4" s="11" t="s">
        <v>66</v>
      </c>
    </row>
    <row r="5">
      <c r="A5" s="9" t="s">
        <v>25</v>
      </c>
      <c r="B5" s="10" t="s">
        <v>67</v>
      </c>
      <c r="D5" s="10" t="s">
        <v>68</v>
      </c>
      <c r="E5" s="11" t="s">
        <v>69</v>
      </c>
      <c r="F5" s="10">
        <f t="shared" si="1"/>
        <v>-885</v>
      </c>
      <c r="G5" s="16">
        <v>45237.0</v>
      </c>
      <c r="H5" s="16">
        <v>44872.0</v>
      </c>
      <c r="I5" s="11" t="s">
        <v>29</v>
      </c>
      <c r="J5" s="13" t="s">
        <v>70</v>
      </c>
      <c r="K5" s="10" t="s">
        <v>71</v>
      </c>
      <c r="L5" s="10" t="s">
        <v>72</v>
      </c>
      <c r="M5" s="14" t="s">
        <v>73</v>
      </c>
      <c r="N5" s="11" t="s">
        <v>74</v>
      </c>
      <c r="O5" s="11" t="s">
        <v>75</v>
      </c>
      <c r="P5" s="11" t="s">
        <v>76</v>
      </c>
      <c r="Q5" s="11">
        <v>4.47756775241E11</v>
      </c>
      <c r="R5" s="11">
        <v>1.357261E7</v>
      </c>
      <c r="S5" s="21">
        <v>35745.0</v>
      </c>
    </row>
    <row r="6">
      <c r="A6" s="9" t="s">
        <v>25</v>
      </c>
      <c r="B6" s="10" t="s">
        <v>77</v>
      </c>
      <c r="D6" s="10" t="s">
        <v>78</v>
      </c>
      <c r="E6" s="11" t="s">
        <v>28</v>
      </c>
      <c r="F6" s="10">
        <f t="shared" si="1"/>
        <v>-877</v>
      </c>
      <c r="G6" s="12">
        <v>45245.0</v>
      </c>
      <c r="H6" s="12">
        <v>44880.0</v>
      </c>
      <c r="I6" s="11" t="s">
        <v>29</v>
      </c>
      <c r="J6" s="13" t="s">
        <v>79</v>
      </c>
      <c r="K6" s="10" t="s">
        <v>80</v>
      </c>
      <c r="L6" s="10" t="s">
        <v>81</v>
      </c>
      <c r="M6" s="17" t="s">
        <v>82</v>
      </c>
      <c r="N6" s="11" t="s">
        <v>34</v>
      </c>
      <c r="O6" s="11" t="s">
        <v>83</v>
      </c>
      <c r="P6" s="11" t="s">
        <v>79</v>
      </c>
      <c r="Q6" s="11">
        <v>3.8670669129E10</v>
      </c>
      <c r="R6" s="11">
        <v>4.4746563E7</v>
      </c>
      <c r="S6" s="22">
        <v>30190.0</v>
      </c>
    </row>
    <row r="7">
      <c r="A7" s="13"/>
      <c r="B7" s="10" t="s">
        <v>84</v>
      </c>
      <c r="C7" s="19"/>
      <c r="D7" s="20" t="s">
        <v>85</v>
      </c>
      <c r="E7" s="11" t="s">
        <v>69</v>
      </c>
      <c r="F7" s="10">
        <f t="shared" si="1"/>
        <v>-23</v>
      </c>
      <c r="G7" s="12">
        <v>46099.0</v>
      </c>
      <c r="H7" s="12">
        <v>44882.0</v>
      </c>
      <c r="I7" s="10" t="s">
        <v>86</v>
      </c>
      <c r="J7" s="13" t="s">
        <v>87</v>
      </c>
      <c r="K7" s="10" t="s">
        <v>88</v>
      </c>
      <c r="L7" s="10" t="s">
        <v>89</v>
      </c>
      <c r="M7" s="17" t="s">
        <v>90</v>
      </c>
      <c r="N7" s="11" t="s">
        <v>91</v>
      </c>
      <c r="O7" s="11" t="s">
        <v>92</v>
      </c>
      <c r="P7" s="11" t="s">
        <v>93</v>
      </c>
      <c r="Q7" s="11" t="s">
        <v>88</v>
      </c>
      <c r="R7" s="11">
        <v>5.3334177099E10</v>
      </c>
      <c r="S7" s="22">
        <v>31314.0</v>
      </c>
    </row>
    <row r="8">
      <c r="A8" s="9" t="s">
        <v>94</v>
      </c>
      <c r="B8" s="10" t="s">
        <v>95</v>
      </c>
      <c r="D8" s="10" t="s">
        <v>96</v>
      </c>
      <c r="E8" s="11" t="s">
        <v>69</v>
      </c>
      <c r="F8" s="10">
        <f t="shared" si="1"/>
        <v>224</v>
      </c>
      <c r="G8" s="12">
        <v>46346.0</v>
      </c>
      <c r="H8" s="12">
        <v>44155.0</v>
      </c>
      <c r="I8" s="10" t="s">
        <v>86</v>
      </c>
      <c r="J8" s="13"/>
      <c r="L8" s="10" t="s">
        <v>97</v>
      </c>
      <c r="M8" s="17"/>
      <c r="N8" s="11" t="s">
        <v>98</v>
      </c>
      <c r="O8" s="11" t="s">
        <v>99</v>
      </c>
      <c r="P8" s="11" t="s">
        <v>100</v>
      </c>
      <c r="Q8" s="11" t="s">
        <v>101</v>
      </c>
      <c r="R8" s="11">
        <v>3.507503859E9</v>
      </c>
      <c r="S8" s="23"/>
      <c r="U8" s="18"/>
    </row>
    <row r="9">
      <c r="A9" s="9" t="s">
        <v>25</v>
      </c>
      <c r="B9" s="10" t="s">
        <v>102</v>
      </c>
      <c r="D9" s="10" t="s">
        <v>103</v>
      </c>
      <c r="E9" s="11" t="s">
        <v>28</v>
      </c>
      <c r="F9" s="10">
        <f t="shared" si="1"/>
        <v>-865</v>
      </c>
      <c r="G9" s="12">
        <v>45257.0</v>
      </c>
      <c r="H9" s="12">
        <v>44892.0</v>
      </c>
      <c r="I9" s="11" t="s">
        <v>29</v>
      </c>
      <c r="J9" s="13" t="s">
        <v>104</v>
      </c>
      <c r="K9" s="10" t="s">
        <v>105</v>
      </c>
      <c r="L9" s="10" t="s">
        <v>106</v>
      </c>
      <c r="M9" s="14" t="s">
        <v>107</v>
      </c>
      <c r="N9" s="11" t="s">
        <v>108</v>
      </c>
      <c r="O9" s="11" t="s">
        <v>109</v>
      </c>
      <c r="P9" s="11" t="s">
        <v>110</v>
      </c>
      <c r="Q9" s="11">
        <v>9.53650387E8</v>
      </c>
      <c r="R9" s="11">
        <v>3.9798201742E10</v>
      </c>
      <c r="S9" s="22">
        <v>31265.0</v>
      </c>
    </row>
    <row r="10">
      <c r="A10" s="9" t="s">
        <v>25</v>
      </c>
      <c r="B10" s="10" t="s">
        <v>111</v>
      </c>
      <c r="D10" s="10" t="s">
        <v>112</v>
      </c>
      <c r="E10" s="11" t="s">
        <v>69</v>
      </c>
      <c r="F10" s="10">
        <f t="shared" si="1"/>
        <v>-856</v>
      </c>
      <c r="G10" s="12">
        <v>45266.0</v>
      </c>
      <c r="H10" s="16">
        <v>44536.0</v>
      </c>
      <c r="I10" s="11" t="s">
        <v>29</v>
      </c>
      <c r="J10" s="13" t="s">
        <v>113</v>
      </c>
      <c r="K10" s="10" t="s">
        <v>114</v>
      </c>
      <c r="L10" s="10" t="s">
        <v>115</v>
      </c>
      <c r="M10" s="14" t="s">
        <v>116</v>
      </c>
      <c r="N10" s="11" t="s">
        <v>57</v>
      </c>
      <c r="O10" s="11" t="s">
        <v>117</v>
      </c>
      <c r="P10" s="11" t="s">
        <v>118</v>
      </c>
      <c r="Q10" s="11">
        <v>9.8365543E7</v>
      </c>
      <c r="R10" s="11">
        <v>3.5014383071E10</v>
      </c>
      <c r="S10" s="15" t="s">
        <v>119</v>
      </c>
      <c r="T10" s="11" t="s">
        <v>120</v>
      </c>
      <c r="U10" s="11" t="s">
        <v>117</v>
      </c>
      <c r="V10" s="11" t="s">
        <v>121</v>
      </c>
      <c r="W10" s="11">
        <v>3.85998868822E11</v>
      </c>
      <c r="X10" s="11">
        <v>3.4861755723E10</v>
      </c>
      <c r="Y10" s="11" t="s">
        <v>122</v>
      </c>
    </row>
    <row r="11">
      <c r="A11" s="9" t="s">
        <v>25</v>
      </c>
      <c r="B11" s="10" t="s">
        <v>123</v>
      </c>
      <c r="D11" s="10" t="s">
        <v>124</v>
      </c>
      <c r="E11" s="11" t="s">
        <v>28</v>
      </c>
      <c r="F11" s="10">
        <f t="shared" si="1"/>
        <v>-848</v>
      </c>
      <c r="G11" s="12">
        <v>45274.0</v>
      </c>
      <c r="H11" s="12">
        <v>44909.0</v>
      </c>
      <c r="I11" s="11" t="s">
        <v>29</v>
      </c>
      <c r="J11" s="13" t="s">
        <v>125</v>
      </c>
      <c r="K11" s="10" t="s">
        <v>126</v>
      </c>
      <c r="L11" s="10" t="s">
        <v>127</v>
      </c>
      <c r="M11" s="17" t="s">
        <v>128</v>
      </c>
      <c r="N11" s="11" t="s">
        <v>34</v>
      </c>
      <c r="O11" s="11" t="s">
        <v>129</v>
      </c>
      <c r="P11" s="11" t="s">
        <v>130</v>
      </c>
      <c r="Q11" s="11" t="s">
        <v>131</v>
      </c>
      <c r="R11" s="11">
        <v>6.807405829E9</v>
      </c>
      <c r="S11" s="22">
        <v>32262.0</v>
      </c>
    </row>
    <row r="12">
      <c r="A12" s="9" t="s">
        <v>25</v>
      </c>
      <c r="B12" s="10" t="s">
        <v>132</v>
      </c>
      <c r="D12" s="10" t="s">
        <v>133</v>
      </c>
      <c r="E12" s="11" t="s">
        <v>28</v>
      </c>
      <c r="F12" s="10">
        <f t="shared" si="1"/>
        <v>-843</v>
      </c>
      <c r="G12" s="12">
        <v>45279.0</v>
      </c>
      <c r="H12" s="12">
        <v>44914.0</v>
      </c>
      <c r="I12" s="11" t="s">
        <v>29</v>
      </c>
      <c r="J12" s="13" t="s">
        <v>134</v>
      </c>
      <c r="K12" s="10" t="s">
        <v>135</v>
      </c>
      <c r="L12" s="10" t="s">
        <v>136</v>
      </c>
      <c r="M12" s="17" t="s">
        <v>137</v>
      </c>
      <c r="N12" s="11" t="s">
        <v>138</v>
      </c>
      <c r="O12" s="11" t="s">
        <v>139</v>
      </c>
      <c r="P12" s="11" t="s">
        <v>140</v>
      </c>
      <c r="Q12" s="11">
        <v>3.859123307E11</v>
      </c>
      <c r="R12" s="11">
        <v>2.2112813033E10</v>
      </c>
      <c r="S12" s="22">
        <v>26517.0</v>
      </c>
    </row>
    <row r="13">
      <c r="A13" s="9" t="s">
        <v>25</v>
      </c>
      <c r="B13" s="10" t="s">
        <v>141</v>
      </c>
      <c r="D13" s="10" t="s">
        <v>142</v>
      </c>
      <c r="E13" s="11" t="s">
        <v>69</v>
      </c>
      <c r="F13" s="10">
        <f t="shared" si="1"/>
        <v>-842</v>
      </c>
      <c r="G13" s="16">
        <v>45280.0</v>
      </c>
      <c r="H13" s="16">
        <v>44915.0</v>
      </c>
      <c r="I13" s="11" t="s">
        <v>29</v>
      </c>
      <c r="J13" s="13" t="s">
        <v>143</v>
      </c>
      <c r="K13" s="10" t="s">
        <v>144</v>
      </c>
      <c r="L13" s="10" t="s">
        <v>145</v>
      </c>
      <c r="M13" s="14" t="s">
        <v>146</v>
      </c>
      <c r="N13" s="11" t="s">
        <v>147</v>
      </c>
      <c r="O13" s="11" t="s">
        <v>148</v>
      </c>
      <c r="P13" s="11" t="s">
        <v>143</v>
      </c>
      <c r="Q13" s="11" t="s">
        <v>149</v>
      </c>
      <c r="R13" s="11">
        <v>8.5550525853E10</v>
      </c>
      <c r="S13" s="21">
        <v>28426.0</v>
      </c>
    </row>
    <row r="14">
      <c r="A14" s="9" t="s">
        <v>150</v>
      </c>
      <c r="B14" s="10" t="s">
        <v>151</v>
      </c>
      <c r="D14" s="10" t="s">
        <v>152</v>
      </c>
      <c r="E14" s="11" t="s">
        <v>28</v>
      </c>
      <c r="F14" s="10">
        <f t="shared" si="1"/>
        <v>-842</v>
      </c>
      <c r="G14" s="12">
        <v>45280.0</v>
      </c>
      <c r="H14" s="12">
        <v>44915.0</v>
      </c>
      <c r="I14" s="11" t="s">
        <v>29</v>
      </c>
      <c r="J14" s="13" t="s">
        <v>153</v>
      </c>
      <c r="K14" s="10" t="s">
        <v>154</v>
      </c>
      <c r="L14" s="10" t="s">
        <v>155</v>
      </c>
      <c r="M14" s="17" t="s">
        <v>156</v>
      </c>
      <c r="N14" s="11" t="s">
        <v>157</v>
      </c>
      <c r="O14" s="11" t="s">
        <v>158</v>
      </c>
      <c r="P14" s="11" t="s">
        <v>153</v>
      </c>
      <c r="Q14" s="11">
        <v>9.98153653E8</v>
      </c>
      <c r="R14" s="11">
        <v>4.6054736599E10</v>
      </c>
      <c r="S14" s="21">
        <v>31342.0</v>
      </c>
    </row>
    <row r="15">
      <c r="A15" s="9" t="s">
        <v>159</v>
      </c>
      <c r="B15" s="11" t="s">
        <v>160</v>
      </c>
      <c r="D15" s="10" t="s">
        <v>161</v>
      </c>
      <c r="E15" s="11" t="s">
        <v>69</v>
      </c>
      <c r="F15" s="10">
        <f t="shared" si="1"/>
        <v>-820</v>
      </c>
      <c r="G15" s="12">
        <v>45302.0</v>
      </c>
      <c r="H15" s="12">
        <v>44937.0</v>
      </c>
      <c r="I15" s="11" t="s">
        <v>29</v>
      </c>
      <c r="J15" s="13" t="s">
        <v>162</v>
      </c>
      <c r="K15" s="10" t="s">
        <v>163</v>
      </c>
      <c r="L15" s="10" t="s">
        <v>164</v>
      </c>
      <c r="M15" s="14" t="s">
        <v>165</v>
      </c>
      <c r="N15" s="11" t="s">
        <v>166</v>
      </c>
      <c r="O15" s="11" t="s">
        <v>167</v>
      </c>
      <c r="P15" s="11" t="s">
        <v>162</v>
      </c>
      <c r="Q15" s="11">
        <v>9.12270277E8</v>
      </c>
      <c r="R15" s="11">
        <v>5.2904196561E10</v>
      </c>
      <c r="S15" s="22">
        <v>29742.0</v>
      </c>
    </row>
    <row r="16">
      <c r="A16" s="13"/>
      <c r="B16" s="10" t="s">
        <v>168</v>
      </c>
      <c r="D16" s="10" t="s">
        <v>169</v>
      </c>
      <c r="E16" s="11" t="s">
        <v>28</v>
      </c>
      <c r="F16" s="10">
        <f t="shared" si="1"/>
        <v>-60</v>
      </c>
      <c r="G16" s="16">
        <v>46062.0</v>
      </c>
      <c r="H16" s="16">
        <v>44949.0</v>
      </c>
      <c r="I16" s="10" t="s">
        <v>86</v>
      </c>
      <c r="J16" s="13" t="s">
        <v>170</v>
      </c>
      <c r="K16" s="10" t="s">
        <v>171</v>
      </c>
      <c r="L16" s="10" t="s">
        <v>172</v>
      </c>
      <c r="M16" s="17" t="s">
        <v>173</v>
      </c>
      <c r="N16" s="11" t="s">
        <v>174</v>
      </c>
      <c r="O16" s="11" t="s">
        <v>175</v>
      </c>
      <c r="P16" s="11" t="s">
        <v>176</v>
      </c>
      <c r="R16" s="11">
        <v>2.4498927236E10</v>
      </c>
      <c r="S16" s="22">
        <v>30947.0</v>
      </c>
      <c r="Z16" s="11" t="s">
        <v>177</v>
      </c>
      <c r="AA16" s="11" t="s">
        <v>178</v>
      </c>
      <c r="AB16" s="11" t="s">
        <v>179</v>
      </c>
      <c r="AC16" s="11"/>
      <c r="AD16" s="11"/>
      <c r="AE16" s="11"/>
      <c r="AF16" s="11"/>
      <c r="AG16" s="11"/>
    </row>
    <row r="17">
      <c r="A17" s="13"/>
      <c r="B17" s="11" t="s">
        <v>180</v>
      </c>
      <c r="D17" s="10" t="s">
        <v>181</v>
      </c>
      <c r="E17" s="11" t="s">
        <v>69</v>
      </c>
      <c r="F17" s="10">
        <f t="shared" si="1"/>
        <v>355</v>
      </c>
      <c r="G17" s="12">
        <v>46477.0</v>
      </c>
      <c r="H17" s="16">
        <v>43136.0</v>
      </c>
      <c r="I17" s="10" t="s">
        <v>86</v>
      </c>
      <c r="J17" s="13" t="s">
        <v>182</v>
      </c>
      <c r="K17" s="10" t="s">
        <v>183</v>
      </c>
      <c r="L17" s="10" t="s">
        <v>184</v>
      </c>
      <c r="M17" s="14" t="s">
        <v>185</v>
      </c>
      <c r="N17" s="11" t="s">
        <v>186</v>
      </c>
      <c r="O17" s="11" t="s">
        <v>187</v>
      </c>
      <c r="P17" s="11" t="s">
        <v>188</v>
      </c>
      <c r="Q17" s="11" t="s">
        <v>189</v>
      </c>
      <c r="S17" s="22"/>
    </row>
    <row r="18">
      <c r="A18" s="9" t="s">
        <v>190</v>
      </c>
      <c r="B18" s="10" t="s">
        <v>191</v>
      </c>
      <c r="D18" s="10" t="s">
        <v>192</v>
      </c>
      <c r="E18" s="11" t="s">
        <v>69</v>
      </c>
      <c r="F18" s="10">
        <f t="shared" si="1"/>
        <v>12</v>
      </c>
      <c r="G18" s="12">
        <v>46134.0</v>
      </c>
      <c r="H18" s="16">
        <v>44622.0</v>
      </c>
      <c r="I18" s="10" t="s">
        <v>86</v>
      </c>
      <c r="J18" s="13" t="s">
        <v>193</v>
      </c>
      <c r="K18" s="10" t="s">
        <v>194</v>
      </c>
      <c r="L18" s="10" t="s">
        <v>195</v>
      </c>
      <c r="M18" s="14" t="s">
        <v>196</v>
      </c>
      <c r="N18" s="11" t="s">
        <v>197</v>
      </c>
      <c r="O18" s="11" t="s">
        <v>198</v>
      </c>
      <c r="P18" s="11" t="s">
        <v>193</v>
      </c>
      <c r="Q18" s="11">
        <v>9.96074645E8</v>
      </c>
      <c r="R18" s="11">
        <v>8.1929958829E10</v>
      </c>
      <c r="S18" s="22">
        <v>37104.0</v>
      </c>
    </row>
    <row r="19">
      <c r="A19" s="13"/>
      <c r="B19" s="11">
        <v>6.208779E10</v>
      </c>
      <c r="D19" s="10" t="s">
        <v>199</v>
      </c>
      <c r="E19" s="11" t="s">
        <v>69</v>
      </c>
      <c r="F19" s="10">
        <f t="shared" si="1"/>
        <v>332</v>
      </c>
      <c r="G19" s="16">
        <v>46454.0</v>
      </c>
      <c r="H19" s="16">
        <v>42641.0</v>
      </c>
      <c r="I19" s="10" t="s">
        <v>86</v>
      </c>
      <c r="J19" s="13" t="s">
        <v>200</v>
      </c>
      <c r="K19" s="10" t="s">
        <v>201</v>
      </c>
      <c r="L19" s="10" t="s">
        <v>202</v>
      </c>
      <c r="M19" s="17" t="s">
        <v>203</v>
      </c>
      <c r="N19" s="11" t="s">
        <v>204</v>
      </c>
      <c r="O19" s="11" t="s">
        <v>205</v>
      </c>
      <c r="P19" s="11" t="s">
        <v>206</v>
      </c>
      <c r="Q19" s="11" t="s">
        <v>207</v>
      </c>
      <c r="S19" s="21"/>
    </row>
    <row r="20">
      <c r="A20" s="9" t="s">
        <v>25</v>
      </c>
      <c r="B20" s="10" t="s">
        <v>208</v>
      </c>
      <c r="D20" s="10" t="s">
        <v>209</v>
      </c>
      <c r="E20" s="11" t="s">
        <v>28</v>
      </c>
      <c r="F20" s="10">
        <f t="shared" si="1"/>
        <v>-763</v>
      </c>
      <c r="G20" s="16">
        <v>45359.0</v>
      </c>
      <c r="H20" s="16">
        <v>44993.0</v>
      </c>
      <c r="I20" s="11" t="s">
        <v>29</v>
      </c>
      <c r="J20" s="13" t="s">
        <v>210</v>
      </c>
      <c r="K20" s="24" t="s">
        <v>211</v>
      </c>
      <c r="L20" s="10" t="s">
        <v>212</v>
      </c>
      <c r="M20" s="17" t="s">
        <v>213</v>
      </c>
      <c r="N20" s="11" t="s">
        <v>214</v>
      </c>
      <c r="O20" s="11" t="s">
        <v>215</v>
      </c>
      <c r="P20" s="11" t="s">
        <v>210</v>
      </c>
      <c r="Q20" s="11">
        <f>+359897777361</f>
        <v>359897777361</v>
      </c>
      <c r="R20" s="11">
        <v>8.001196607E9</v>
      </c>
      <c r="S20" s="22">
        <v>29239.0</v>
      </c>
    </row>
    <row r="21">
      <c r="A21" s="13"/>
      <c r="B21" s="10" t="s">
        <v>216</v>
      </c>
      <c r="D21" s="10" t="s">
        <v>217</v>
      </c>
      <c r="E21" s="11" t="s">
        <v>28</v>
      </c>
      <c r="F21" s="10">
        <f t="shared" si="1"/>
        <v>12</v>
      </c>
      <c r="G21" s="16">
        <v>46134.0</v>
      </c>
      <c r="H21" s="16">
        <v>45035.0</v>
      </c>
      <c r="I21" s="10" t="s">
        <v>86</v>
      </c>
      <c r="J21" s="13" t="s">
        <v>218</v>
      </c>
      <c r="K21" s="10" t="s">
        <v>219</v>
      </c>
      <c r="L21" s="10" t="s">
        <v>220</v>
      </c>
      <c r="M21" s="14" t="s">
        <v>221</v>
      </c>
      <c r="N21" s="11" t="s">
        <v>222</v>
      </c>
      <c r="O21" s="11" t="s">
        <v>223</v>
      </c>
      <c r="P21" s="11" t="s">
        <v>224</v>
      </c>
      <c r="Q21" s="11">
        <v>9.92087404E8</v>
      </c>
      <c r="R21" s="11">
        <v>3.1986805636E10</v>
      </c>
      <c r="S21" s="22">
        <v>32261.0</v>
      </c>
    </row>
    <row r="22">
      <c r="A22" s="13"/>
      <c r="B22" s="10" t="s">
        <v>225</v>
      </c>
      <c r="D22" s="10" t="s">
        <v>226</v>
      </c>
      <c r="E22" s="11" t="s">
        <v>69</v>
      </c>
      <c r="F22" s="10">
        <f t="shared" si="1"/>
        <v>26</v>
      </c>
      <c r="G22" s="16">
        <v>46148.0</v>
      </c>
      <c r="H22" s="16"/>
      <c r="I22" s="10" t="s">
        <v>86</v>
      </c>
      <c r="J22" s="13" t="s">
        <v>227</v>
      </c>
      <c r="K22" s="10" t="s">
        <v>228</v>
      </c>
      <c r="L22" s="10" t="s">
        <v>229</v>
      </c>
      <c r="M22" s="14" t="s">
        <v>230</v>
      </c>
      <c r="N22" s="11" t="s">
        <v>231</v>
      </c>
      <c r="O22" s="11" t="s">
        <v>232</v>
      </c>
      <c r="P22" s="11" t="s">
        <v>227</v>
      </c>
      <c r="Q22" s="11" t="s">
        <v>233</v>
      </c>
      <c r="R22" s="11">
        <v>3.5759659007E10</v>
      </c>
      <c r="S22" s="22">
        <v>32951.0</v>
      </c>
    </row>
    <row r="23">
      <c r="A23" s="9" t="s">
        <v>234</v>
      </c>
      <c r="B23" s="10" t="s">
        <v>235</v>
      </c>
      <c r="D23" s="10" t="s">
        <v>236</v>
      </c>
      <c r="E23" s="11" t="s">
        <v>69</v>
      </c>
      <c r="F23" s="10">
        <f t="shared" si="1"/>
        <v>-217</v>
      </c>
      <c r="G23" s="16">
        <v>45905.0</v>
      </c>
      <c r="H23" s="16">
        <v>43958.0</v>
      </c>
      <c r="I23" s="11" t="s">
        <v>29</v>
      </c>
      <c r="J23" s="13" t="s">
        <v>237</v>
      </c>
      <c r="K23" s="10" t="s">
        <v>238</v>
      </c>
      <c r="L23" s="10" t="s">
        <v>239</v>
      </c>
      <c r="M23" s="17" t="s">
        <v>240</v>
      </c>
      <c r="N23" s="11" t="s">
        <v>241</v>
      </c>
      <c r="O23" s="11" t="s">
        <v>242</v>
      </c>
      <c r="P23" s="11" t="s">
        <v>243</v>
      </c>
      <c r="Q23" s="11">
        <v>9.92371647E8</v>
      </c>
      <c r="R23" s="11">
        <v>1.316959898E10</v>
      </c>
      <c r="S23" s="15" t="s">
        <v>244</v>
      </c>
    </row>
    <row r="24">
      <c r="A24" s="13"/>
      <c r="B24" s="10" t="s">
        <v>245</v>
      </c>
      <c r="D24" s="10" t="s">
        <v>246</v>
      </c>
      <c r="E24" s="11" t="s">
        <v>69</v>
      </c>
      <c r="F24" s="10">
        <f t="shared" si="1"/>
        <v>-337</v>
      </c>
      <c r="G24" s="16">
        <v>45785.0</v>
      </c>
      <c r="H24" s="12">
        <v>45054.0</v>
      </c>
      <c r="I24" s="11" t="s">
        <v>29</v>
      </c>
      <c r="J24" s="13" t="s">
        <v>247</v>
      </c>
      <c r="K24" s="24" t="s">
        <v>248</v>
      </c>
      <c r="L24" s="10" t="s">
        <v>249</v>
      </c>
      <c r="M24" s="14" t="s">
        <v>250</v>
      </c>
      <c r="N24" s="25" t="s">
        <v>251</v>
      </c>
      <c r="O24" s="11" t="s">
        <v>252</v>
      </c>
      <c r="P24" s="11" t="s">
        <v>253</v>
      </c>
      <c r="S24" s="16"/>
      <c r="T24" s="25" t="s">
        <v>254</v>
      </c>
      <c r="U24" s="11" t="s">
        <v>232</v>
      </c>
      <c r="V24" s="11" t="s">
        <v>255</v>
      </c>
      <c r="W24" s="10">
        <f>+385917233570</f>
        <v>385917233570</v>
      </c>
      <c r="X24" s="11">
        <v>9.2834138217E10</v>
      </c>
      <c r="Y24" s="16">
        <v>33561.0</v>
      </c>
      <c r="AE24" s="22"/>
    </row>
    <row r="25">
      <c r="A25" s="9" t="s">
        <v>256</v>
      </c>
      <c r="B25" s="10" t="s">
        <v>257</v>
      </c>
      <c r="D25" s="10" t="s">
        <v>258</v>
      </c>
      <c r="E25" s="11" t="s">
        <v>69</v>
      </c>
      <c r="F25" s="10">
        <f t="shared" si="1"/>
        <v>36</v>
      </c>
      <c r="G25" s="16">
        <v>46158.0</v>
      </c>
      <c r="H25" s="16">
        <v>45062.0</v>
      </c>
      <c r="I25" s="10" t="s">
        <v>86</v>
      </c>
      <c r="J25" s="13" t="s">
        <v>259</v>
      </c>
      <c r="K25" s="10" t="s">
        <v>260</v>
      </c>
      <c r="L25" s="10" t="s">
        <v>261</v>
      </c>
      <c r="M25" s="14" t="s">
        <v>262</v>
      </c>
      <c r="N25" s="11" t="s">
        <v>263</v>
      </c>
      <c r="O25" s="11" t="s">
        <v>264</v>
      </c>
      <c r="P25" s="11" t="s">
        <v>259</v>
      </c>
      <c r="Q25" s="11">
        <v>9.81980069E8</v>
      </c>
      <c r="R25" s="11">
        <v>8.6066512727E10</v>
      </c>
      <c r="S25" s="22">
        <v>33830.0</v>
      </c>
    </row>
    <row r="26">
      <c r="A26" s="13"/>
      <c r="B26" s="10" t="s">
        <v>265</v>
      </c>
      <c r="D26" s="10" t="s">
        <v>266</v>
      </c>
      <c r="E26" s="11" t="s">
        <v>69</v>
      </c>
      <c r="F26" s="10">
        <f t="shared" si="1"/>
        <v>37</v>
      </c>
      <c r="G26" s="16">
        <v>46159.0</v>
      </c>
      <c r="H26" s="16">
        <v>44141.0</v>
      </c>
      <c r="I26" s="10" t="s">
        <v>86</v>
      </c>
      <c r="J26" s="13" t="s">
        <v>267</v>
      </c>
      <c r="K26" s="10" t="s">
        <v>268</v>
      </c>
      <c r="L26" s="10" t="s">
        <v>269</v>
      </c>
      <c r="M26" s="17" t="s">
        <v>270</v>
      </c>
      <c r="N26" s="26" t="s">
        <v>271</v>
      </c>
      <c r="O26" s="26" t="s">
        <v>272</v>
      </c>
      <c r="P26" s="26" t="s">
        <v>273</v>
      </c>
      <c r="Q26" s="26"/>
      <c r="R26" s="26">
        <v>3.477447516E10</v>
      </c>
      <c r="S26" s="27" t="s">
        <v>274</v>
      </c>
      <c r="T26" s="11" t="s">
        <v>275</v>
      </c>
      <c r="U26" s="11" t="s">
        <v>276</v>
      </c>
      <c r="V26" s="11" t="s">
        <v>277</v>
      </c>
      <c r="W26" s="11">
        <v>9.5373242E8</v>
      </c>
      <c r="X26" s="11">
        <v>4.993404045E9</v>
      </c>
      <c r="Y26" s="11" t="s">
        <v>278</v>
      </c>
    </row>
    <row r="27">
      <c r="A27" s="13"/>
      <c r="B27" s="10" t="s">
        <v>279</v>
      </c>
      <c r="D27" s="10" t="s">
        <v>280</v>
      </c>
      <c r="E27" s="11" t="s">
        <v>69</v>
      </c>
      <c r="F27" s="10">
        <f t="shared" si="1"/>
        <v>83</v>
      </c>
      <c r="G27" s="16">
        <v>46205.0</v>
      </c>
      <c r="H27" s="16">
        <v>45084.0</v>
      </c>
      <c r="I27" s="10" t="s">
        <v>86</v>
      </c>
      <c r="J27" s="9" t="s">
        <v>281</v>
      </c>
      <c r="K27" s="10" t="s">
        <v>282</v>
      </c>
      <c r="L27" s="10" t="s">
        <v>283</v>
      </c>
      <c r="M27" s="14" t="s">
        <v>284</v>
      </c>
      <c r="N27" s="11" t="s">
        <v>285</v>
      </c>
      <c r="O27" s="11" t="s">
        <v>286</v>
      </c>
      <c r="P27" s="11" t="s">
        <v>287</v>
      </c>
      <c r="Q27" s="11">
        <v>9.93737131E8</v>
      </c>
      <c r="R27" s="11">
        <v>7.5761654809E10</v>
      </c>
      <c r="S27" s="22">
        <v>3.2901081E7</v>
      </c>
    </row>
    <row r="28">
      <c r="A28" s="13"/>
      <c r="B28" s="10" t="s">
        <v>288</v>
      </c>
      <c r="D28" s="10" t="s">
        <v>289</v>
      </c>
      <c r="E28" s="11" t="s">
        <v>69</v>
      </c>
      <c r="F28" s="10">
        <f t="shared" si="1"/>
        <v>22</v>
      </c>
      <c r="G28" s="16">
        <v>46144.0</v>
      </c>
      <c r="H28" s="16">
        <v>44432.0</v>
      </c>
      <c r="I28" s="10" t="s">
        <v>86</v>
      </c>
      <c r="J28" s="13" t="s">
        <v>290</v>
      </c>
      <c r="K28" s="10" t="s">
        <v>291</v>
      </c>
      <c r="L28" s="10" t="s">
        <v>292</v>
      </c>
      <c r="M28" s="17" t="s">
        <v>293</v>
      </c>
      <c r="N28" s="11" t="s">
        <v>294</v>
      </c>
      <c r="O28" s="11" t="s">
        <v>295</v>
      </c>
      <c r="P28" s="11" t="s">
        <v>296</v>
      </c>
      <c r="Q28" s="11" t="s">
        <v>297</v>
      </c>
      <c r="R28" s="11">
        <v>4.1528787963E10</v>
      </c>
      <c r="S28" s="15" t="s">
        <v>298</v>
      </c>
    </row>
    <row r="29">
      <c r="A29" s="13"/>
      <c r="B29" s="10" t="s">
        <v>299</v>
      </c>
      <c r="D29" s="10" t="s">
        <v>300</v>
      </c>
      <c r="E29" s="11" t="s">
        <v>28</v>
      </c>
      <c r="F29" s="10">
        <f t="shared" si="1"/>
        <v>93</v>
      </c>
      <c r="G29" s="16">
        <v>46215.0</v>
      </c>
      <c r="H29" s="16">
        <v>44754.0</v>
      </c>
      <c r="I29" s="10" t="s">
        <v>86</v>
      </c>
      <c r="J29" s="13" t="s">
        <v>301</v>
      </c>
      <c r="K29" s="10" t="s">
        <v>302</v>
      </c>
      <c r="L29" s="10" t="s">
        <v>303</v>
      </c>
      <c r="M29" s="17" t="s">
        <v>304</v>
      </c>
      <c r="N29" s="11" t="s">
        <v>305</v>
      </c>
      <c r="O29" s="11" t="s">
        <v>306</v>
      </c>
      <c r="P29" s="11" t="s">
        <v>307</v>
      </c>
      <c r="Q29" s="11">
        <v>9.8273896E7</v>
      </c>
      <c r="R29" s="11">
        <v>6.9438885183E10</v>
      </c>
      <c r="S29" s="15" t="s">
        <v>308</v>
      </c>
    </row>
    <row r="30">
      <c r="A30" s="9" t="s">
        <v>25</v>
      </c>
      <c r="B30" s="10" t="s">
        <v>309</v>
      </c>
      <c r="D30" s="10" t="s">
        <v>310</v>
      </c>
      <c r="E30" s="11" t="s">
        <v>69</v>
      </c>
      <c r="F30" s="10">
        <f t="shared" si="1"/>
        <v>-631</v>
      </c>
      <c r="G30" s="16">
        <v>45491.0</v>
      </c>
      <c r="H30" s="16">
        <v>44760.0</v>
      </c>
      <c r="I30" s="11" t="s">
        <v>29</v>
      </c>
      <c r="J30" s="13" t="s">
        <v>311</v>
      </c>
      <c r="K30" s="10" t="s">
        <v>312</v>
      </c>
      <c r="L30" s="10" t="s">
        <v>313</v>
      </c>
      <c r="M30" s="14" t="s">
        <v>314</v>
      </c>
      <c r="N30" s="11" t="s">
        <v>315</v>
      </c>
      <c r="O30" s="11" t="s">
        <v>316</v>
      </c>
      <c r="P30" s="11" t="s">
        <v>317</v>
      </c>
      <c r="Q30" s="11">
        <v>9.92572429E8</v>
      </c>
      <c r="R30" s="11">
        <v>1.9827624546E10</v>
      </c>
      <c r="S30" s="15" t="s">
        <v>318</v>
      </c>
      <c r="T30" s="11" t="s">
        <v>319</v>
      </c>
      <c r="U30" s="11" t="s">
        <v>320</v>
      </c>
      <c r="V30" s="11" t="s">
        <v>321</v>
      </c>
      <c r="W30" s="11">
        <v>7.572237695E9</v>
      </c>
      <c r="X30" s="11">
        <v>5.2336921508E10</v>
      </c>
      <c r="Y30" s="11" t="s">
        <v>322</v>
      </c>
    </row>
    <row r="31">
      <c r="A31" s="13"/>
      <c r="B31" s="10" t="s">
        <v>323</v>
      </c>
      <c r="C31" s="19"/>
      <c r="D31" s="20" t="s">
        <v>324</v>
      </c>
      <c r="E31" s="11" t="s">
        <v>69</v>
      </c>
      <c r="F31" s="10">
        <f t="shared" si="1"/>
        <v>137</v>
      </c>
      <c r="G31" s="16">
        <v>46259.0</v>
      </c>
      <c r="H31" s="16">
        <v>45163.0</v>
      </c>
      <c r="I31" s="10" t="s">
        <v>86</v>
      </c>
      <c r="J31" s="13" t="s">
        <v>325</v>
      </c>
      <c r="K31" s="10" t="s">
        <v>326</v>
      </c>
      <c r="L31" s="10" t="s">
        <v>327</v>
      </c>
      <c r="M31" s="14" t="s">
        <v>328</v>
      </c>
      <c r="N31" s="11" t="s">
        <v>174</v>
      </c>
      <c r="O31" s="11" t="s">
        <v>329</v>
      </c>
      <c r="P31" s="11" t="s">
        <v>330</v>
      </c>
      <c r="Q31" s="11">
        <v>9.14210052E8</v>
      </c>
      <c r="R31" s="11">
        <v>4.9583714556E10</v>
      </c>
      <c r="S31" s="22">
        <v>29009.0</v>
      </c>
    </row>
    <row r="32" ht="60.75" customHeight="1">
      <c r="A32" s="13"/>
      <c r="B32" s="10" t="s">
        <v>331</v>
      </c>
      <c r="D32" s="10" t="s">
        <v>332</v>
      </c>
      <c r="E32" s="11" t="s">
        <v>28</v>
      </c>
      <c r="F32" s="10">
        <f t="shared" si="1"/>
        <v>509</v>
      </c>
      <c r="G32" s="16">
        <v>46631.0</v>
      </c>
      <c r="H32" s="12">
        <v>43059.0</v>
      </c>
      <c r="I32" s="10" t="s">
        <v>86</v>
      </c>
      <c r="J32" s="13" t="s">
        <v>333</v>
      </c>
      <c r="K32" s="10" t="s">
        <v>334</v>
      </c>
      <c r="L32" s="10" t="s">
        <v>335</v>
      </c>
      <c r="M32" s="14" t="s">
        <v>336</v>
      </c>
      <c r="N32" s="11" t="s">
        <v>285</v>
      </c>
      <c r="O32" s="11" t="s">
        <v>337</v>
      </c>
      <c r="P32" s="11" t="s">
        <v>338</v>
      </c>
      <c r="Q32" s="11" t="s">
        <v>339</v>
      </c>
      <c r="S32" s="23"/>
      <c r="T32" s="11" t="s">
        <v>340</v>
      </c>
      <c r="U32" s="11" t="s">
        <v>341</v>
      </c>
      <c r="V32" s="11" t="s">
        <v>342</v>
      </c>
    </row>
    <row r="33">
      <c r="A33" s="13"/>
      <c r="B33" s="10" t="s">
        <v>343</v>
      </c>
      <c r="D33" s="10" t="s">
        <v>344</v>
      </c>
      <c r="E33" s="11" t="s">
        <v>69</v>
      </c>
      <c r="F33" s="10">
        <f t="shared" si="1"/>
        <v>145</v>
      </c>
      <c r="G33" s="16">
        <v>46267.0</v>
      </c>
      <c r="H33" s="16">
        <v>44076.0</v>
      </c>
      <c r="I33" s="10" t="s">
        <v>86</v>
      </c>
      <c r="J33" s="13" t="s">
        <v>345</v>
      </c>
      <c r="K33" s="10" t="s">
        <v>346</v>
      </c>
      <c r="L33" s="10" t="s">
        <v>347</v>
      </c>
      <c r="M33" s="14" t="s">
        <v>348</v>
      </c>
      <c r="N33" s="11" t="s">
        <v>349</v>
      </c>
      <c r="O33" s="11" t="s">
        <v>350</v>
      </c>
      <c r="P33" s="11" t="s">
        <v>351</v>
      </c>
      <c r="Q33" s="11" t="s">
        <v>346</v>
      </c>
      <c r="R33" s="11">
        <v>7.224920605E9</v>
      </c>
      <c r="S33" s="15" t="s">
        <v>352</v>
      </c>
      <c r="T33" s="11" t="s">
        <v>353</v>
      </c>
      <c r="U33" s="11" t="s">
        <v>354</v>
      </c>
      <c r="V33" s="11" t="s">
        <v>355</v>
      </c>
      <c r="W33" s="11" t="s">
        <v>356</v>
      </c>
      <c r="Y33" s="11" t="s">
        <v>357</v>
      </c>
    </row>
    <row r="34">
      <c r="A34" s="13"/>
      <c r="B34" s="10" t="s">
        <v>358</v>
      </c>
      <c r="D34" s="10" t="s">
        <v>359</v>
      </c>
      <c r="E34" s="11" t="s">
        <v>28</v>
      </c>
      <c r="F34" s="10">
        <f t="shared" si="1"/>
        <v>156</v>
      </c>
      <c r="G34" s="16">
        <v>46278.0</v>
      </c>
      <c r="H34" s="16">
        <v>42780.0</v>
      </c>
      <c r="I34" s="10" t="s">
        <v>86</v>
      </c>
      <c r="J34" s="13" t="s">
        <v>360</v>
      </c>
      <c r="K34" s="10" t="s">
        <v>361</v>
      </c>
      <c r="L34" s="10" t="s">
        <v>362</v>
      </c>
      <c r="M34" s="28" t="s">
        <v>363</v>
      </c>
      <c r="N34" s="11" t="s">
        <v>315</v>
      </c>
      <c r="O34" s="11" t="s">
        <v>364</v>
      </c>
      <c r="P34" s="11" t="s">
        <v>365</v>
      </c>
      <c r="Q34" s="11" t="s">
        <v>361</v>
      </c>
      <c r="R34" s="11">
        <v>1.6520374488E10</v>
      </c>
      <c r="S34" s="22">
        <v>30441.0</v>
      </c>
    </row>
    <row r="35">
      <c r="A35" s="9" t="s">
        <v>366</v>
      </c>
      <c r="B35" s="10" t="s">
        <v>367</v>
      </c>
      <c r="D35" s="10" t="s">
        <v>368</v>
      </c>
      <c r="E35" s="11" t="s">
        <v>69</v>
      </c>
      <c r="F35" s="10">
        <f t="shared" si="1"/>
        <v>-572</v>
      </c>
      <c r="G35" s="16">
        <v>45550.0</v>
      </c>
      <c r="H35" s="12">
        <v>44120.0</v>
      </c>
      <c r="I35" s="11" t="s">
        <v>29</v>
      </c>
      <c r="J35" s="13" t="s">
        <v>369</v>
      </c>
      <c r="K35" s="10" t="s">
        <v>370</v>
      </c>
      <c r="L35" s="10" t="s">
        <v>371</v>
      </c>
      <c r="M35" s="14" t="s">
        <v>372</v>
      </c>
      <c r="N35" s="11" t="s">
        <v>373</v>
      </c>
      <c r="O35" s="11" t="s">
        <v>374</v>
      </c>
      <c r="P35" s="11" t="s">
        <v>375</v>
      </c>
      <c r="Q35" s="11">
        <v>9.16165607E8</v>
      </c>
      <c r="R35" s="11">
        <v>2.3771900773E10</v>
      </c>
      <c r="S35" s="21">
        <v>33165.0</v>
      </c>
      <c r="T35" s="11" t="s">
        <v>376</v>
      </c>
      <c r="U35" s="11" t="s">
        <v>377</v>
      </c>
      <c r="V35" s="11" t="s">
        <v>378</v>
      </c>
      <c r="W35" s="11" t="s">
        <v>379</v>
      </c>
      <c r="X35" s="11">
        <v>3.4603125992E10</v>
      </c>
      <c r="Y35" s="12">
        <v>32461.0</v>
      </c>
    </row>
    <row r="36">
      <c r="A36" s="9" t="s">
        <v>380</v>
      </c>
      <c r="B36" s="10" t="s">
        <v>381</v>
      </c>
      <c r="D36" s="10" t="s">
        <v>382</v>
      </c>
      <c r="E36" s="11" t="s">
        <v>69</v>
      </c>
      <c r="F36" s="10">
        <f t="shared" si="1"/>
        <v>-465</v>
      </c>
      <c r="G36" s="16">
        <v>45657.0</v>
      </c>
      <c r="H36" s="16">
        <v>44154.0</v>
      </c>
      <c r="I36" s="11" t="s">
        <v>29</v>
      </c>
      <c r="J36" s="13" t="s">
        <v>383</v>
      </c>
      <c r="K36" s="10" t="s">
        <v>384</v>
      </c>
      <c r="L36" s="10" t="s">
        <v>385</v>
      </c>
      <c r="M36" s="14" t="s">
        <v>386</v>
      </c>
      <c r="N36" s="11" t="s">
        <v>387</v>
      </c>
      <c r="O36" s="11" t="s">
        <v>388</v>
      </c>
      <c r="P36" s="11" t="s">
        <v>389</v>
      </c>
      <c r="Q36" s="11" t="s">
        <v>390</v>
      </c>
      <c r="R36" s="11" t="s">
        <v>391</v>
      </c>
      <c r="S36" s="15" t="s">
        <v>391</v>
      </c>
    </row>
    <row r="37">
      <c r="A37" s="9" t="s">
        <v>25</v>
      </c>
      <c r="B37" s="10" t="s">
        <v>392</v>
      </c>
      <c r="D37" s="10" t="s">
        <v>393</v>
      </c>
      <c r="E37" s="11" t="s">
        <v>28</v>
      </c>
      <c r="F37" s="10">
        <f t="shared" si="1"/>
        <v>-560</v>
      </c>
      <c r="G37" s="16">
        <v>45562.0</v>
      </c>
      <c r="H37" s="16">
        <v>45196.0</v>
      </c>
      <c r="I37" s="11" t="s">
        <v>29</v>
      </c>
      <c r="J37" s="13" t="s">
        <v>394</v>
      </c>
      <c r="K37" s="10" t="s">
        <v>395</v>
      </c>
      <c r="L37" s="10" t="s">
        <v>396</v>
      </c>
      <c r="M37" s="17" t="s">
        <v>397</v>
      </c>
      <c r="N37" s="11" t="s">
        <v>398</v>
      </c>
      <c r="O37" s="11" t="s">
        <v>399</v>
      </c>
      <c r="P37" s="11" t="s">
        <v>400</v>
      </c>
      <c r="Q37" s="11">
        <v>9.9447744E8</v>
      </c>
      <c r="R37" s="11">
        <v>4.9842955502E10</v>
      </c>
      <c r="S37" s="22">
        <v>33423.0</v>
      </c>
    </row>
    <row r="38">
      <c r="A38" s="13"/>
      <c r="B38" s="10" t="s">
        <v>401</v>
      </c>
      <c r="D38" s="10" t="s">
        <v>402</v>
      </c>
      <c r="E38" s="11" t="s">
        <v>28</v>
      </c>
      <c r="F38" s="10">
        <f t="shared" si="1"/>
        <v>182</v>
      </c>
      <c r="G38" s="16">
        <v>46304.0</v>
      </c>
      <c r="H38" s="16">
        <v>45208.0</v>
      </c>
      <c r="I38" s="10" t="s">
        <v>86</v>
      </c>
      <c r="J38" s="13" t="s">
        <v>403</v>
      </c>
      <c r="K38" s="24" t="s">
        <v>404</v>
      </c>
      <c r="L38" s="10" t="s">
        <v>405</v>
      </c>
      <c r="M38" s="17" t="s">
        <v>406</v>
      </c>
      <c r="N38" s="11" t="s">
        <v>407</v>
      </c>
      <c r="O38" s="11" t="s">
        <v>408</v>
      </c>
      <c r="P38" s="11" t="s">
        <v>409</v>
      </c>
      <c r="S38" s="22"/>
    </row>
    <row r="39">
      <c r="A39" s="13"/>
      <c r="B39" s="10" t="s">
        <v>410</v>
      </c>
      <c r="D39" s="10" t="s">
        <v>411</v>
      </c>
      <c r="E39" s="11" t="s">
        <v>69</v>
      </c>
      <c r="F39" s="10">
        <f t="shared" si="1"/>
        <v>194</v>
      </c>
      <c r="G39" s="16">
        <v>46316.0</v>
      </c>
      <c r="H39" s="16">
        <v>42864.0</v>
      </c>
      <c r="I39" s="10" t="s">
        <v>86</v>
      </c>
      <c r="J39" s="13" t="s">
        <v>412</v>
      </c>
      <c r="K39" s="10" t="s">
        <v>413</v>
      </c>
      <c r="M39" s="14"/>
      <c r="N39" s="11" t="s">
        <v>186</v>
      </c>
      <c r="O39" s="11" t="s">
        <v>414</v>
      </c>
      <c r="P39" s="11" t="s">
        <v>415</v>
      </c>
      <c r="Q39" s="11" t="s">
        <v>416</v>
      </c>
      <c r="R39" s="11">
        <v>5.6226869304E10</v>
      </c>
      <c r="S39" s="15" t="s">
        <v>417</v>
      </c>
      <c r="T39" s="11" t="s">
        <v>376</v>
      </c>
      <c r="U39" s="11" t="s">
        <v>418</v>
      </c>
      <c r="V39" s="11" t="s">
        <v>419</v>
      </c>
    </row>
    <row r="40">
      <c r="A40" s="9" t="s">
        <v>25</v>
      </c>
      <c r="B40" s="10" t="s">
        <v>420</v>
      </c>
      <c r="D40" s="10" t="s">
        <v>421</v>
      </c>
      <c r="E40" s="11" t="s">
        <v>69</v>
      </c>
      <c r="F40" s="10">
        <f t="shared" si="1"/>
        <v>-531</v>
      </c>
      <c r="G40" s="16">
        <v>45591.0</v>
      </c>
      <c r="H40" s="16">
        <v>45225.0</v>
      </c>
      <c r="I40" s="11" t="s">
        <v>29</v>
      </c>
      <c r="J40" s="13" t="s">
        <v>422</v>
      </c>
      <c r="L40" s="10" t="s">
        <v>423</v>
      </c>
      <c r="M40" s="14" t="s">
        <v>424</v>
      </c>
      <c r="N40" s="11" t="s">
        <v>425</v>
      </c>
      <c r="O40" s="11" t="s">
        <v>426</v>
      </c>
      <c r="P40" s="11" t="s">
        <v>427</v>
      </c>
      <c r="R40" s="11">
        <v>5.0857113797E10</v>
      </c>
      <c r="S40" s="22">
        <v>28619.0</v>
      </c>
    </row>
    <row r="41">
      <c r="A41" s="13"/>
      <c r="B41" s="10" t="s">
        <v>428</v>
      </c>
      <c r="D41" s="10" t="s">
        <v>429</v>
      </c>
      <c r="E41" s="11" t="s">
        <v>69</v>
      </c>
      <c r="F41" s="10">
        <f t="shared" si="1"/>
        <v>213</v>
      </c>
      <c r="G41" s="16">
        <v>46335.0</v>
      </c>
      <c r="H41" s="12">
        <v>44874.0</v>
      </c>
      <c r="I41" s="10" t="s">
        <v>86</v>
      </c>
      <c r="J41" s="13" t="s">
        <v>430</v>
      </c>
      <c r="K41" s="10" t="s">
        <v>431</v>
      </c>
      <c r="L41" s="10" t="s">
        <v>432</v>
      </c>
      <c r="M41" s="14" t="s">
        <v>433</v>
      </c>
      <c r="N41" s="11" t="s">
        <v>108</v>
      </c>
      <c r="O41" s="11" t="s">
        <v>434</v>
      </c>
      <c r="P41" s="11" t="s">
        <v>435</v>
      </c>
      <c r="Q41" s="11">
        <v>9.12409198E8</v>
      </c>
      <c r="R41" s="11">
        <v>7.8625093709E10</v>
      </c>
      <c r="S41" s="22">
        <v>28126.0</v>
      </c>
    </row>
    <row r="42">
      <c r="A42" s="9" t="s">
        <v>94</v>
      </c>
      <c r="B42" s="11" t="s">
        <v>436</v>
      </c>
      <c r="C42" s="11"/>
      <c r="D42" s="29" t="s">
        <v>437</v>
      </c>
      <c r="E42" s="11" t="s">
        <v>28</v>
      </c>
      <c r="F42" s="10">
        <f t="shared" si="1"/>
        <v>-477</v>
      </c>
      <c r="G42" s="12">
        <v>45645.0</v>
      </c>
      <c r="H42" s="12">
        <v>45279.0</v>
      </c>
      <c r="I42" s="11" t="s">
        <v>29</v>
      </c>
      <c r="J42" s="9" t="s">
        <v>438</v>
      </c>
      <c r="K42" s="11">
        <v>9.8202682E7</v>
      </c>
      <c r="L42" s="11">
        <v>9.3634429487E10</v>
      </c>
      <c r="M42" s="17" t="s">
        <v>439</v>
      </c>
      <c r="N42" s="11" t="s">
        <v>204</v>
      </c>
      <c r="O42" s="11" t="s">
        <v>440</v>
      </c>
      <c r="P42" s="11" t="s">
        <v>438</v>
      </c>
      <c r="Q42" s="11">
        <v>9.8202682E7</v>
      </c>
      <c r="R42" s="11">
        <v>4.0895177253E10</v>
      </c>
      <c r="S42" s="30">
        <v>27241.0</v>
      </c>
    </row>
    <row r="43">
      <c r="A43" s="13"/>
      <c r="B43" s="11" t="s">
        <v>441</v>
      </c>
      <c r="C43" s="11"/>
      <c r="D43" s="29" t="s">
        <v>442</v>
      </c>
      <c r="E43" s="11" t="s">
        <v>28</v>
      </c>
      <c r="F43" s="10">
        <f t="shared" si="1"/>
        <v>-469</v>
      </c>
      <c r="G43" s="12">
        <v>45653.0</v>
      </c>
      <c r="H43" s="12">
        <v>45287.0</v>
      </c>
      <c r="I43" s="11" t="s">
        <v>29</v>
      </c>
      <c r="J43" s="9" t="s">
        <v>443</v>
      </c>
      <c r="K43" s="11">
        <v>9.81619122E8</v>
      </c>
      <c r="L43" s="11">
        <v>5.336769046E10</v>
      </c>
      <c r="M43" s="17" t="s">
        <v>444</v>
      </c>
      <c r="N43" s="11" t="s">
        <v>204</v>
      </c>
      <c r="O43" s="11" t="s">
        <v>445</v>
      </c>
      <c r="P43" s="11" t="s">
        <v>446</v>
      </c>
      <c r="Q43" s="11">
        <v>9.81619122E8</v>
      </c>
      <c r="R43" s="11">
        <v>9.1790305065E10</v>
      </c>
      <c r="S43" s="30">
        <v>26967.0</v>
      </c>
      <c r="T43" s="11" t="s">
        <v>447</v>
      </c>
      <c r="U43" s="11" t="s">
        <v>448</v>
      </c>
      <c r="V43" s="11" t="s">
        <v>449</v>
      </c>
      <c r="X43" s="11">
        <v>9.419177406E9</v>
      </c>
      <c r="Y43" s="31">
        <v>33099.0</v>
      </c>
    </row>
    <row r="44">
      <c r="A44" s="9" t="s">
        <v>450</v>
      </c>
      <c r="B44" s="11" t="s">
        <v>451</v>
      </c>
      <c r="C44" s="19"/>
      <c r="D44" s="20" t="s">
        <v>452</v>
      </c>
      <c r="E44" s="11" t="s">
        <v>28</v>
      </c>
      <c r="F44" s="10">
        <f t="shared" si="1"/>
        <v>265</v>
      </c>
      <c r="G44" s="16">
        <v>46387.0</v>
      </c>
      <c r="H44" s="16">
        <v>43866.0</v>
      </c>
      <c r="I44" s="10" t="s">
        <v>86</v>
      </c>
      <c r="J44" s="9" t="s">
        <v>453</v>
      </c>
      <c r="K44" s="10" t="s">
        <v>454</v>
      </c>
      <c r="L44" s="10" t="s">
        <v>455</v>
      </c>
      <c r="M44" s="14" t="s">
        <v>456</v>
      </c>
      <c r="N44" s="11" t="s">
        <v>457</v>
      </c>
      <c r="O44" s="11" t="s">
        <v>458</v>
      </c>
      <c r="P44" s="11" t="s">
        <v>459</v>
      </c>
      <c r="Q44" s="11" t="s">
        <v>460</v>
      </c>
      <c r="R44" s="11">
        <v>8.2450717957E10</v>
      </c>
      <c r="S44" s="15" t="s">
        <v>461</v>
      </c>
      <c r="T44" s="11" t="s">
        <v>462</v>
      </c>
      <c r="U44" s="11" t="s">
        <v>463</v>
      </c>
      <c r="V44" s="11" t="s">
        <v>464</v>
      </c>
      <c r="W44" s="11" t="s">
        <v>465</v>
      </c>
      <c r="X44" s="11">
        <v>1.1523559518E10</v>
      </c>
      <c r="Y44" s="11" t="s">
        <v>466</v>
      </c>
    </row>
    <row r="45">
      <c r="A45" s="13"/>
      <c r="B45" s="10" t="s">
        <v>467</v>
      </c>
      <c r="E45" s="11" t="s">
        <v>28</v>
      </c>
      <c r="F45" s="10">
        <f t="shared" si="1"/>
        <v>-465</v>
      </c>
      <c r="G45" s="12">
        <v>45657.0</v>
      </c>
      <c r="H45" s="16">
        <v>42103.0</v>
      </c>
      <c r="I45" s="11" t="s">
        <v>29</v>
      </c>
      <c r="J45" s="13"/>
      <c r="M45" s="17"/>
      <c r="S45" s="22"/>
    </row>
    <row r="46">
      <c r="A46" s="9" t="s">
        <v>94</v>
      </c>
      <c r="B46" s="32" t="s">
        <v>468</v>
      </c>
      <c r="C46" s="32"/>
      <c r="D46" s="33" t="s">
        <v>469</v>
      </c>
      <c r="E46" s="32" t="s">
        <v>28</v>
      </c>
      <c r="F46" s="34">
        <f t="shared" si="1"/>
        <v>-448</v>
      </c>
      <c r="G46" s="35">
        <v>45674.0</v>
      </c>
      <c r="H46" s="35">
        <v>45308.0</v>
      </c>
      <c r="I46" s="11" t="s">
        <v>29</v>
      </c>
      <c r="J46" s="32" t="s">
        <v>470</v>
      </c>
      <c r="K46" s="34"/>
      <c r="L46" s="32">
        <v>1.1367380354E10</v>
      </c>
      <c r="M46" s="28" t="s">
        <v>471</v>
      </c>
      <c r="N46" s="32" t="s">
        <v>472</v>
      </c>
      <c r="O46" s="32" t="s">
        <v>473</v>
      </c>
      <c r="P46" s="32" t="s">
        <v>470</v>
      </c>
      <c r="Q46" s="34"/>
      <c r="R46" s="32">
        <v>1.1367380354E10</v>
      </c>
      <c r="S46" s="36">
        <v>31624.0</v>
      </c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>
      <c r="A47" s="13"/>
      <c r="B47" s="10" t="s">
        <v>474</v>
      </c>
      <c r="D47" s="10" t="s">
        <v>475</v>
      </c>
      <c r="E47" s="11" t="s">
        <v>28</v>
      </c>
      <c r="F47" s="10">
        <f t="shared" si="1"/>
        <v>-64</v>
      </c>
      <c r="G47" s="16">
        <v>46058.0</v>
      </c>
      <c r="H47" s="16">
        <v>44302.0</v>
      </c>
      <c r="I47" s="10" t="s">
        <v>86</v>
      </c>
      <c r="J47" s="9" t="s">
        <v>476</v>
      </c>
      <c r="K47" s="10" t="s">
        <v>477</v>
      </c>
      <c r="L47" s="10" t="s">
        <v>478</v>
      </c>
      <c r="M47" s="17" t="s">
        <v>479</v>
      </c>
      <c r="N47" s="11" t="s">
        <v>480</v>
      </c>
      <c r="O47" s="11" t="s">
        <v>481</v>
      </c>
      <c r="P47" s="11" t="s">
        <v>482</v>
      </c>
      <c r="Q47" s="11" t="s">
        <v>483</v>
      </c>
      <c r="R47" s="37">
        <v>1.3551750655E10</v>
      </c>
      <c r="S47" s="37" t="s">
        <v>484</v>
      </c>
      <c r="T47" s="37" t="s">
        <v>485</v>
      </c>
      <c r="U47" s="11" t="s">
        <v>486</v>
      </c>
      <c r="V47" s="11" t="s">
        <v>487</v>
      </c>
      <c r="X47" s="37">
        <v>7.586751714E10</v>
      </c>
      <c r="Y47" s="37" t="s">
        <v>488</v>
      </c>
    </row>
    <row r="48">
      <c r="A48" s="13"/>
      <c r="B48" s="11" t="s">
        <v>489</v>
      </c>
      <c r="C48" s="11"/>
      <c r="D48" s="29" t="s">
        <v>490</v>
      </c>
      <c r="E48" s="11" t="s">
        <v>69</v>
      </c>
      <c r="F48" s="10">
        <f t="shared" si="1"/>
        <v>144</v>
      </c>
      <c r="G48" s="16">
        <v>46266.0</v>
      </c>
      <c r="H48" s="16">
        <v>44440.0</v>
      </c>
      <c r="I48" s="10" t="s">
        <v>86</v>
      </c>
      <c r="L48" s="11">
        <v>8.8360795357E10</v>
      </c>
      <c r="M48" s="17" t="s">
        <v>491</v>
      </c>
      <c r="N48" s="11" t="s">
        <v>407</v>
      </c>
      <c r="O48" s="11" t="s">
        <v>492</v>
      </c>
      <c r="P48" s="38" t="s">
        <v>493</v>
      </c>
      <c r="S48" s="23"/>
    </row>
    <row r="49">
      <c r="A49" s="13"/>
      <c r="B49" s="32" t="s">
        <v>494</v>
      </c>
      <c r="C49" s="32"/>
      <c r="D49" s="33" t="s">
        <v>495</v>
      </c>
      <c r="E49" s="32" t="s">
        <v>69</v>
      </c>
      <c r="F49" s="34">
        <f t="shared" si="1"/>
        <v>266</v>
      </c>
      <c r="G49" s="35">
        <v>46388.0</v>
      </c>
      <c r="H49" s="34"/>
      <c r="I49" s="39" t="s">
        <v>86</v>
      </c>
      <c r="J49" s="34"/>
      <c r="K49" s="34"/>
      <c r="L49" s="32">
        <v>8.2551932122E10</v>
      </c>
      <c r="M49" s="28" t="s">
        <v>496</v>
      </c>
      <c r="N49" s="32" t="s">
        <v>497</v>
      </c>
      <c r="O49" s="32" t="s">
        <v>498</v>
      </c>
      <c r="P49" s="32" t="s">
        <v>499</v>
      </c>
      <c r="Q49" s="32" t="s">
        <v>500</v>
      </c>
      <c r="R49" s="34"/>
      <c r="S49" s="40"/>
      <c r="T49" s="32" t="s">
        <v>501</v>
      </c>
      <c r="U49" s="32" t="s">
        <v>502</v>
      </c>
      <c r="V49" s="32" t="s">
        <v>503</v>
      </c>
      <c r="W49" s="32" t="s">
        <v>504</v>
      </c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>
      <c r="A50" s="13"/>
      <c r="B50" s="11" t="s">
        <v>505</v>
      </c>
      <c r="C50" s="19"/>
      <c r="D50" s="20" t="s">
        <v>506</v>
      </c>
      <c r="E50" s="11" t="s">
        <v>28</v>
      </c>
      <c r="F50" s="10">
        <f t="shared" si="1"/>
        <v>200</v>
      </c>
      <c r="G50" s="16">
        <v>46322.0</v>
      </c>
      <c r="H50" s="16">
        <v>45226.0</v>
      </c>
      <c r="I50" s="11" t="s">
        <v>86</v>
      </c>
      <c r="J50" s="9" t="s">
        <v>507</v>
      </c>
      <c r="K50" s="11">
        <v>3.85992667E11</v>
      </c>
      <c r="L50" s="11">
        <v>7.2098429386E10</v>
      </c>
      <c r="M50" s="17" t="s">
        <v>508</v>
      </c>
      <c r="N50" s="11" t="s">
        <v>509</v>
      </c>
      <c r="O50" s="11" t="s">
        <v>510</v>
      </c>
      <c r="P50" s="11" t="s">
        <v>511</v>
      </c>
      <c r="Q50" s="11">
        <v>3.85992667E11</v>
      </c>
      <c r="R50" s="11">
        <v>8.44417718E10</v>
      </c>
      <c r="S50" s="22">
        <v>28016.0</v>
      </c>
      <c r="T50" s="11" t="s">
        <v>512</v>
      </c>
      <c r="U50" s="11" t="s">
        <v>510</v>
      </c>
      <c r="V50" s="11" t="s">
        <v>513</v>
      </c>
      <c r="W50" s="11">
        <v>3.85994965022E11</v>
      </c>
      <c r="X50" s="11">
        <v>9.0945659048E10</v>
      </c>
      <c r="Y50" s="16">
        <v>28397.0</v>
      </c>
    </row>
    <row r="51">
      <c r="A51" s="13"/>
      <c r="B51" s="11" t="s">
        <v>514</v>
      </c>
      <c r="C51" s="19"/>
      <c r="D51" s="20" t="s">
        <v>515</v>
      </c>
      <c r="E51" s="11" t="s">
        <v>28</v>
      </c>
      <c r="F51" s="10">
        <f t="shared" si="1"/>
        <v>238</v>
      </c>
      <c r="G51" s="16">
        <v>46360.0</v>
      </c>
      <c r="H51" s="16">
        <v>45264.0</v>
      </c>
      <c r="I51" s="11" t="s">
        <v>86</v>
      </c>
      <c r="J51" s="9" t="s">
        <v>516</v>
      </c>
      <c r="K51" s="11">
        <v>5.1633306E7</v>
      </c>
      <c r="L51" s="11">
        <v>2.583857419E9</v>
      </c>
      <c r="M51" s="28" t="s">
        <v>517</v>
      </c>
      <c r="N51" s="11" t="s">
        <v>353</v>
      </c>
      <c r="O51" s="11" t="s">
        <v>518</v>
      </c>
      <c r="P51" s="11" t="s">
        <v>519</v>
      </c>
      <c r="R51" s="11">
        <v>7.9945715405E10</v>
      </c>
      <c r="S51" s="22">
        <v>27490.0</v>
      </c>
    </row>
    <row r="52">
      <c r="A52" s="9" t="s">
        <v>25</v>
      </c>
      <c r="B52" s="11" t="s">
        <v>520</v>
      </c>
      <c r="C52" s="19"/>
      <c r="D52" s="20" t="s">
        <v>521</v>
      </c>
      <c r="E52" s="11" t="s">
        <v>28</v>
      </c>
      <c r="F52" s="10">
        <f t="shared" si="1"/>
        <v>-531</v>
      </c>
      <c r="G52" s="16">
        <v>45591.0</v>
      </c>
      <c r="H52" s="16">
        <v>45225.0</v>
      </c>
      <c r="I52" s="11" t="s">
        <v>29</v>
      </c>
      <c r="J52" s="9" t="s">
        <v>522</v>
      </c>
      <c r="K52" s="11" t="s">
        <v>523</v>
      </c>
      <c r="L52" s="11">
        <v>5.637635E9</v>
      </c>
      <c r="M52" s="28" t="s">
        <v>524</v>
      </c>
      <c r="N52" s="11" t="s">
        <v>525</v>
      </c>
      <c r="O52" s="11" t="s">
        <v>526</v>
      </c>
      <c r="P52" s="11" t="s">
        <v>527</v>
      </c>
      <c r="R52" s="11">
        <v>5.637635E9</v>
      </c>
      <c r="S52" s="22">
        <v>33767.0</v>
      </c>
    </row>
    <row r="53">
      <c r="A53" s="13"/>
      <c r="B53" s="11" t="s">
        <v>528</v>
      </c>
      <c r="C53" s="11"/>
      <c r="D53" s="29" t="s">
        <v>529</v>
      </c>
      <c r="E53" s="11" t="s">
        <v>28</v>
      </c>
      <c r="F53" s="10">
        <f t="shared" si="1"/>
        <v>-33</v>
      </c>
      <c r="G53" s="16">
        <v>46089.0</v>
      </c>
      <c r="H53" s="16">
        <v>45359.0</v>
      </c>
      <c r="I53" s="11" t="s">
        <v>86</v>
      </c>
      <c r="J53" s="32" t="s">
        <v>530</v>
      </c>
      <c r="K53" s="11">
        <v>9.8527628E7</v>
      </c>
      <c r="L53" s="11">
        <v>2.186640062E10</v>
      </c>
      <c r="M53" s="28" t="s">
        <v>531</v>
      </c>
      <c r="N53" s="11" t="s">
        <v>349</v>
      </c>
      <c r="O53" s="11" t="s">
        <v>532</v>
      </c>
      <c r="P53" s="11" t="s">
        <v>533</v>
      </c>
      <c r="Q53" s="11">
        <v>9.8527628E7</v>
      </c>
      <c r="R53" s="11">
        <v>1.2086244446E10</v>
      </c>
      <c r="S53" s="22">
        <v>32300.0</v>
      </c>
    </row>
    <row r="54">
      <c r="A54" s="9" t="s">
        <v>534</v>
      </c>
      <c r="B54" s="41" t="s">
        <v>535</v>
      </c>
      <c r="C54" s="11"/>
      <c r="D54" s="29" t="s">
        <v>536</v>
      </c>
      <c r="E54" s="11" t="s">
        <v>69</v>
      </c>
      <c r="F54" s="10">
        <f t="shared" si="1"/>
        <v>338</v>
      </c>
      <c r="G54" s="16">
        <v>46460.0</v>
      </c>
      <c r="H54" s="16">
        <v>45365.0</v>
      </c>
      <c r="I54" s="11" t="s">
        <v>86</v>
      </c>
      <c r="J54" s="32" t="s">
        <v>537</v>
      </c>
      <c r="K54" s="11" t="s">
        <v>538</v>
      </c>
      <c r="L54" s="11">
        <v>2.5444746329E10</v>
      </c>
      <c r="M54" s="28" t="s">
        <v>539</v>
      </c>
      <c r="N54" s="11" t="s">
        <v>540</v>
      </c>
      <c r="O54" s="11" t="s">
        <v>541</v>
      </c>
      <c r="P54" s="11" t="s">
        <v>542</v>
      </c>
      <c r="S54" s="23"/>
      <c r="T54" s="10" t="s">
        <v>543</v>
      </c>
      <c r="U54" s="10" t="s">
        <v>544</v>
      </c>
      <c r="V54" s="10" t="s">
        <v>545</v>
      </c>
    </row>
    <row r="55">
      <c r="A55" s="9" t="s">
        <v>25</v>
      </c>
      <c r="B55" s="42" t="s">
        <v>546</v>
      </c>
      <c r="C55" s="19"/>
      <c r="D55" s="20" t="s">
        <v>547</v>
      </c>
      <c r="E55" s="11" t="s">
        <v>28</v>
      </c>
      <c r="F55" s="10">
        <f t="shared" si="1"/>
        <v>-532</v>
      </c>
      <c r="G55" s="16">
        <v>45590.0</v>
      </c>
      <c r="H55" s="16">
        <v>45224.0</v>
      </c>
      <c r="I55" s="11" t="s">
        <v>29</v>
      </c>
      <c r="J55" s="32" t="s">
        <v>548</v>
      </c>
      <c r="K55" s="11">
        <v>3.85913456016E11</v>
      </c>
      <c r="L55" s="43">
        <v>6.686620175E9</v>
      </c>
      <c r="M55" s="17" t="s">
        <v>549</v>
      </c>
      <c r="N55" s="11" t="s">
        <v>550</v>
      </c>
      <c r="O55" s="11" t="s">
        <v>551</v>
      </c>
      <c r="P55" s="11" t="s">
        <v>552</v>
      </c>
      <c r="Q55" s="11">
        <v>9.8586713E7</v>
      </c>
      <c r="R55" s="37">
        <v>3.384743733E9</v>
      </c>
      <c r="S55" s="37" t="s">
        <v>553</v>
      </c>
    </row>
    <row r="56">
      <c r="A56" s="13"/>
      <c r="B56" s="11" t="s">
        <v>554</v>
      </c>
      <c r="E56" s="11" t="s">
        <v>28</v>
      </c>
      <c r="F56" s="10">
        <f t="shared" si="1"/>
        <v>-57</v>
      </c>
      <c r="G56" s="16">
        <v>46065.0</v>
      </c>
      <c r="I56" s="11" t="s">
        <v>86</v>
      </c>
      <c r="J56" s="32" t="s">
        <v>555</v>
      </c>
      <c r="K56" s="11">
        <v>9.89973646E8</v>
      </c>
      <c r="L56" s="11">
        <v>9.1257408424E10</v>
      </c>
      <c r="M56" s="28" t="s">
        <v>556</v>
      </c>
      <c r="N56" s="11" t="s">
        <v>557</v>
      </c>
      <c r="O56" s="11" t="s">
        <v>558</v>
      </c>
      <c r="P56" s="11" t="s">
        <v>555</v>
      </c>
      <c r="Q56" s="11">
        <v>9.89973646E8</v>
      </c>
      <c r="R56" s="11">
        <v>9.2813653751E10</v>
      </c>
      <c r="S56" s="22">
        <v>31528.0</v>
      </c>
    </row>
    <row r="57">
      <c r="A57" s="13"/>
      <c r="B57" s="11" t="s">
        <v>559</v>
      </c>
      <c r="C57" s="19"/>
      <c r="D57" s="20" t="s">
        <v>560</v>
      </c>
      <c r="E57" s="11" t="s">
        <v>69</v>
      </c>
      <c r="F57" s="10">
        <f t="shared" si="1"/>
        <v>177</v>
      </c>
      <c r="G57" s="16">
        <v>46299.0</v>
      </c>
      <c r="I57" s="11" t="s">
        <v>86</v>
      </c>
      <c r="J57" s="32" t="s">
        <v>561</v>
      </c>
      <c r="K57" s="11">
        <v>4.2073444705E11</v>
      </c>
      <c r="L57" s="11">
        <v>2.8957733E7</v>
      </c>
      <c r="M57" s="28" t="s">
        <v>562</v>
      </c>
      <c r="S57" s="23"/>
    </row>
    <row r="58">
      <c r="A58" s="13"/>
      <c r="B58" s="11" t="s">
        <v>563</v>
      </c>
      <c r="C58" s="11"/>
      <c r="D58" s="29" t="s">
        <v>564</v>
      </c>
      <c r="E58" s="11" t="s">
        <v>28</v>
      </c>
      <c r="F58" s="10">
        <f t="shared" si="1"/>
        <v>-386</v>
      </c>
      <c r="G58" s="16">
        <v>45736.0</v>
      </c>
      <c r="H58" s="16">
        <v>45371.0</v>
      </c>
      <c r="I58" s="11" t="s">
        <v>29</v>
      </c>
      <c r="J58" s="32" t="s">
        <v>565</v>
      </c>
      <c r="K58" s="11" t="s">
        <v>566</v>
      </c>
      <c r="L58" s="11" t="s">
        <v>567</v>
      </c>
      <c r="M58" s="28" t="s">
        <v>568</v>
      </c>
      <c r="N58" s="11" t="s">
        <v>569</v>
      </c>
      <c r="O58" s="11" t="s">
        <v>570</v>
      </c>
      <c r="P58" s="11" t="s">
        <v>571</v>
      </c>
      <c r="Q58" s="11" t="s">
        <v>572</v>
      </c>
      <c r="R58" s="11" t="s">
        <v>567</v>
      </c>
      <c r="S58" s="23"/>
    </row>
    <row r="59">
      <c r="A59" s="13"/>
      <c r="B59" s="32" t="s">
        <v>573</v>
      </c>
      <c r="C59" s="32"/>
      <c r="D59" s="33" t="s">
        <v>574</v>
      </c>
      <c r="E59" s="32" t="s">
        <v>28</v>
      </c>
      <c r="F59" s="34">
        <f t="shared" si="1"/>
        <v>350</v>
      </c>
      <c r="G59" s="16">
        <v>46472.0</v>
      </c>
      <c r="H59" s="16">
        <v>45377.0</v>
      </c>
      <c r="I59" s="11" t="s">
        <v>86</v>
      </c>
      <c r="J59" s="32" t="s">
        <v>575</v>
      </c>
      <c r="K59" s="32">
        <v>9.58204865E8</v>
      </c>
      <c r="L59" s="32">
        <v>9.647196351E10</v>
      </c>
      <c r="M59" s="28" t="s">
        <v>576</v>
      </c>
      <c r="N59" s="32" t="s">
        <v>577</v>
      </c>
      <c r="O59" s="32" t="s">
        <v>578</v>
      </c>
      <c r="P59" s="32" t="s">
        <v>575</v>
      </c>
      <c r="Q59" s="32">
        <v>9.58204865E8</v>
      </c>
      <c r="R59" s="32">
        <v>5.125583859E10</v>
      </c>
      <c r="S59" s="44">
        <v>35210.0</v>
      </c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>
      <c r="A60" s="13"/>
      <c r="B60" s="32" t="s">
        <v>579</v>
      </c>
      <c r="C60" s="32"/>
      <c r="D60" s="33" t="s">
        <v>580</v>
      </c>
      <c r="E60" s="32" t="s">
        <v>28</v>
      </c>
      <c r="F60" s="34">
        <f t="shared" si="1"/>
        <v>-8</v>
      </c>
      <c r="G60" s="16">
        <v>46114.0</v>
      </c>
      <c r="H60" s="16">
        <v>45384.0</v>
      </c>
      <c r="I60" s="11" t="s">
        <v>86</v>
      </c>
      <c r="J60" s="32" t="s">
        <v>581</v>
      </c>
      <c r="K60" s="34">
        <f>31645230473</f>
        <v>31645230473</v>
      </c>
      <c r="L60" s="32" t="s">
        <v>582</v>
      </c>
      <c r="M60" s="28" t="s">
        <v>583</v>
      </c>
      <c r="N60" s="32" t="s">
        <v>584</v>
      </c>
      <c r="O60" s="32" t="s">
        <v>585</v>
      </c>
      <c r="P60" s="32" t="s">
        <v>586</v>
      </c>
      <c r="Q60" s="32">
        <v>9.9214768E8</v>
      </c>
      <c r="R60" s="32">
        <v>6.3533684894E10</v>
      </c>
      <c r="S60" s="44">
        <v>34801.0</v>
      </c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ht="15.0" customHeight="1">
      <c r="A61" s="9" t="s">
        <v>94</v>
      </c>
      <c r="B61" s="10" t="s">
        <v>587</v>
      </c>
      <c r="D61" s="10" t="s">
        <v>588</v>
      </c>
      <c r="E61" s="11" t="s">
        <v>28</v>
      </c>
      <c r="F61" s="10">
        <f>G60-TODAY()</f>
        <v>-8</v>
      </c>
      <c r="H61" s="16">
        <v>45027.0</v>
      </c>
      <c r="I61" s="11" t="s">
        <v>86</v>
      </c>
      <c r="J61" s="45" t="s">
        <v>589</v>
      </c>
      <c r="K61" s="46">
        <v>3.864138415E10</v>
      </c>
      <c r="L61" s="45" t="s">
        <v>590</v>
      </c>
      <c r="M61" s="47" t="s">
        <v>591</v>
      </c>
      <c r="N61" s="48" t="s">
        <v>592</v>
      </c>
      <c r="O61" s="49" t="s">
        <v>593</v>
      </c>
      <c r="P61" s="49" t="s">
        <v>589</v>
      </c>
      <c r="Q61" s="50">
        <f>+38641384150</f>
        <v>38641384150</v>
      </c>
      <c r="R61" s="48" t="s">
        <v>594</v>
      </c>
      <c r="S61" s="51">
        <v>28989.0</v>
      </c>
      <c r="T61" s="52"/>
    </row>
    <row r="62">
      <c r="A62" s="13"/>
      <c r="B62" s="32" t="s">
        <v>595</v>
      </c>
      <c r="C62" s="32"/>
      <c r="D62" s="33" t="s">
        <v>596</v>
      </c>
      <c r="E62" s="32" t="s">
        <v>28</v>
      </c>
      <c r="F62" s="34">
        <f t="shared" ref="F62:F85" si="2">G62-TODAY()</f>
        <v>-2</v>
      </c>
      <c r="G62" s="16">
        <v>46120.0</v>
      </c>
      <c r="H62" s="16">
        <v>45390.0</v>
      </c>
      <c r="I62" s="11" t="s">
        <v>86</v>
      </c>
      <c r="J62" s="32" t="s">
        <v>597</v>
      </c>
      <c r="K62" s="32">
        <v>3.7129705331E10</v>
      </c>
      <c r="L62" s="32" t="s">
        <v>598</v>
      </c>
      <c r="M62" s="28" t="s">
        <v>599</v>
      </c>
      <c r="N62" s="32" t="s">
        <v>600</v>
      </c>
      <c r="O62" s="32" t="s">
        <v>601</v>
      </c>
      <c r="P62" s="32" t="s">
        <v>597</v>
      </c>
      <c r="Q62" s="32">
        <v>3.7129705331E10</v>
      </c>
      <c r="R62" s="32" t="s">
        <v>598</v>
      </c>
      <c r="S62" s="44">
        <v>31601.0</v>
      </c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>
      <c r="A63" s="13"/>
      <c r="B63" s="32" t="s">
        <v>602</v>
      </c>
      <c r="C63" s="32"/>
      <c r="D63" s="33" t="s">
        <v>603</v>
      </c>
      <c r="E63" s="32" t="s">
        <v>28</v>
      </c>
      <c r="F63" s="34">
        <f t="shared" si="2"/>
        <v>13</v>
      </c>
      <c r="G63" s="35">
        <v>46135.0</v>
      </c>
      <c r="H63" s="35">
        <v>45405.0</v>
      </c>
      <c r="I63" s="32" t="s">
        <v>86</v>
      </c>
      <c r="J63" s="32" t="s">
        <v>604</v>
      </c>
      <c r="K63" s="32">
        <v>1.3817757E7</v>
      </c>
      <c r="L63" s="32">
        <v>2.5065980939E10</v>
      </c>
      <c r="M63" s="28" t="s">
        <v>605</v>
      </c>
      <c r="N63" s="32" t="s">
        <v>509</v>
      </c>
      <c r="O63" s="32" t="s">
        <v>532</v>
      </c>
      <c r="P63" s="32" t="s">
        <v>606</v>
      </c>
      <c r="Q63" s="32">
        <v>9.81378884E8</v>
      </c>
      <c r="R63" s="32">
        <v>3.4165140433E10</v>
      </c>
      <c r="S63" s="44">
        <v>27536.0</v>
      </c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>
      <c r="A64" s="13"/>
      <c r="B64" s="32" t="s">
        <v>607</v>
      </c>
      <c r="C64" s="32"/>
      <c r="D64" s="33" t="s">
        <v>608</v>
      </c>
      <c r="E64" s="32" t="s">
        <v>28</v>
      </c>
      <c r="F64" s="34">
        <f t="shared" si="2"/>
        <v>33</v>
      </c>
      <c r="G64" s="35">
        <v>46155.0</v>
      </c>
      <c r="H64" s="35">
        <v>45425.0</v>
      </c>
      <c r="I64" s="32" t="s">
        <v>86</v>
      </c>
      <c r="J64" s="32" t="s">
        <v>609</v>
      </c>
      <c r="K64" s="32">
        <v>3.8514835103E10</v>
      </c>
      <c r="L64" s="32">
        <v>2.1233832319E10</v>
      </c>
      <c r="M64" s="28" t="s">
        <v>610</v>
      </c>
      <c r="N64" s="32" t="s">
        <v>376</v>
      </c>
      <c r="O64" s="32" t="s">
        <v>611</v>
      </c>
      <c r="P64" s="32" t="s">
        <v>612</v>
      </c>
      <c r="Q64" s="32">
        <v>3.85989234797E11</v>
      </c>
      <c r="R64" s="32">
        <v>1.940831655E10</v>
      </c>
      <c r="S64" s="44">
        <v>29704.0</v>
      </c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>
      <c r="A65" s="13"/>
      <c r="B65" s="34" t="s">
        <v>613</v>
      </c>
      <c r="C65" s="32"/>
      <c r="D65" s="33" t="s">
        <v>614</v>
      </c>
      <c r="E65" s="32" t="s">
        <v>69</v>
      </c>
      <c r="F65" s="34">
        <f t="shared" si="2"/>
        <v>-318</v>
      </c>
      <c r="G65" s="35">
        <v>45804.0</v>
      </c>
      <c r="H65" s="35">
        <v>45439.0</v>
      </c>
      <c r="I65" s="11" t="s">
        <v>29</v>
      </c>
      <c r="J65" s="32" t="s">
        <v>615</v>
      </c>
      <c r="K65" s="32">
        <v>9.17333777E8</v>
      </c>
      <c r="L65" s="32">
        <v>9.7370458076E10</v>
      </c>
      <c r="M65" s="28" t="s">
        <v>616</v>
      </c>
      <c r="N65" s="32" t="s">
        <v>617</v>
      </c>
      <c r="O65" s="32" t="s">
        <v>618</v>
      </c>
      <c r="P65" s="32" t="s">
        <v>619</v>
      </c>
      <c r="Q65" s="32">
        <v>9.17333777E8</v>
      </c>
      <c r="R65" s="32">
        <v>8.8964030315E10</v>
      </c>
      <c r="S65" s="44">
        <v>28331.0</v>
      </c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>
      <c r="A66" s="13"/>
      <c r="B66" s="32" t="s">
        <v>620</v>
      </c>
      <c r="C66" s="32"/>
      <c r="D66" s="33" t="s">
        <v>621</v>
      </c>
      <c r="E66" s="32" t="s">
        <v>69</v>
      </c>
      <c r="F66" s="34">
        <f t="shared" si="2"/>
        <v>-274</v>
      </c>
      <c r="G66" s="35">
        <v>45848.0</v>
      </c>
      <c r="H66" s="35">
        <v>45483.0</v>
      </c>
      <c r="I66" s="11" t="s">
        <v>29</v>
      </c>
      <c r="J66" s="32" t="s">
        <v>622</v>
      </c>
      <c r="K66" s="32">
        <v>7.99746826E8</v>
      </c>
      <c r="L66" s="32" t="s">
        <v>623</v>
      </c>
      <c r="M66" s="28" t="s">
        <v>624</v>
      </c>
      <c r="N66" s="32" t="s">
        <v>625</v>
      </c>
      <c r="O66" s="32" t="s">
        <v>626</v>
      </c>
      <c r="P66" s="32" t="s">
        <v>622</v>
      </c>
      <c r="Q66" s="32">
        <v>7.99746826E8</v>
      </c>
      <c r="R66" s="32" t="s">
        <v>623</v>
      </c>
      <c r="S66" s="44">
        <v>32907.0</v>
      </c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>
      <c r="A67" s="13"/>
      <c r="B67" s="32" t="s">
        <v>627</v>
      </c>
      <c r="C67" s="53"/>
      <c r="D67" s="54" t="s">
        <v>628</v>
      </c>
      <c r="E67" s="32" t="s">
        <v>69</v>
      </c>
      <c r="F67" s="34">
        <f t="shared" si="2"/>
        <v>-297</v>
      </c>
      <c r="G67" s="35">
        <v>45825.0</v>
      </c>
      <c r="H67" s="35">
        <v>45460.0</v>
      </c>
      <c r="I67" s="11" t="s">
        <v>29</v>
      </c>
      <c r="J67" s="32" t="s">
        <v>629</v>
      </c>
      <c r="K67" s="32">
        <v>3.81637052054E11</v>
      </c>
      <c r="L67" s="32">
        <v>1.09469802E8</v>
      </c>
      <c r="M67" s="28" t="s">
        <v>630</v>
      </c>
      <c r="N67" s="32" t="s">
        <v>631</v>
      </c>
      <c r="O67" s="32" t="s">
        <v>632</v>
      </c>
      <c r="P67" s="32" t="s">
        <v>633</v>
      </c>
      <c r="Q67" s="34"/>
      <c r="R67" s="32"/>
      <c r="S67" s="44"/>
      <c r="T67" s="32" t="s">
        <v>634</v>
      </c>
      <c r="U67" s="32" t="s">
        <v>635</v>
      </c>
      <c r="V67" s="32" t="s">
        <v>636</v>
      </c>
      <c r="W67" s="34"/>
      <c r="X67" s="32">
        <v>1.09469802E8</v>
      </c>
      <c r="Y67" s="44">
        <v>29221.0</v>
      </c>
      <c r="Z67" s="34"/>
      <c r="AA67" s="34"/>
      <c r="AB67" s="34"/>
      <c r="AC67" s="34"/>
      <c r="AD67" s="34"/>
      <c r="AE67" s="34"/>
      <c r="AF67" s="34"/>
      <c r="AG67" s="34"/>
    </row>
    <row r="68">
      <c r="A68" s="13"/>
      <c r="B68" s="32" t="s">
        <v>637</v>
      </c>
      <c r="C68" s="53"/>
      <c r="D68" s="54" t="s">
        <v>638</v>
      </c>
      <c r="E68" s="32" t="s">
        <v>69</v>
      </c>
      <c r="F68" s="34">
        <f t="shared" si="2"/>
        <v>-336</v>
      </c>
      <c r="G68" s="35">
        <v>45786.0</v>
      </c>
      <c r="H68" s="35">
        <v>45421.0</v>
      </c>
      <c r="I68" s="11" t="s">
        <v>29</v>
      </c>
      <c r="J68" s="32" t="s">
        <v>639</v>
      </c>
      <c r="K68" s="32">
        <v>3.1209951E7</v>
      </c>
      <c r="L68" s="32">
        <v>5.9259168949E10</v>
      </c>
      <c r="M68" s="28" t="s">
        <v>640</v>
      </c>
      <c r="N68" s="32" t="s">
        <v>641</v>
      </c>
      <c r="O68" s="32" t="s">
        <v>642</v>
      </c>
      <c r="P68" s="32" t="s">
        <v>643</v>
      </c>
      <c r="Q68" s="32">
        <v>9.15358693E8</v>
      </c>
      <c r="R68" s="32">
        <v>3.5703973323E10</v>
      </c>
      <c r="S68" s="44">
        <v>28751.0</v>
      </c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>
      <c r="A69" s="13"/>
      <c r="B69" s="32" t="s">
        <v>644</v>
      </c>
      <c r="C69" s="32"/>
      <c r="D69" s="33" t="s">
        <v>645</v>
      </c>
      <c r="E69" s="32" t="s">
        <v>28</v>
      </c>
      <c r="F69" s="34">
        <f t="shared" si="2"/>
        <v>-267</v>
      </c>
      <c r="G69" s="35">
        <v>45855.0</v>
      </c>
      <c r="H69" s="35">
        <v>45490.0</v>
      </c>
      <c r="I69" s="11" t="s">
        <v>29</v>
      </c>
      <c r="J69" s="32" t="s">
        <v>646</v>
      </c>
      <c r="K69" s="32" t="s">
        <v>647</v>
      </c>
      <c r="L69" s="32">
        <v>6.6142139895E10</v>
      </c>
      <c r="M69" s="55" t="s">
        <v>648</v>
      </c>
      <c r="N69" s="32" t="s">
        <v>649</v>
      </c>
      <c r="O69" s="32" t="s">
        <v>650</v>
      </c>
      <c r="P69" s="32" t="s">
        <v>651</v>
      </c>
      <c r="Q69" s="32" t="s">
        <v>647</v>
      </c>
      <c r="R69" s="32">
        <v>8.8753623835E10</v>
      </c>
      <c r="S69" s="44">
        <v>36533.0</v>
      </c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>
      <c r="A70" s="13"/>
      <c r="B70" s="32" t="s">
        <v>652</v>
      </c>
      <c r="C70" s="32"/>
      <c r="D70" s="33" t="s">
        <v>653</v>
      </c>
      <c r="E70" s="32" t="s">
        <v>28</v>
      </c>
      <c r="F70" s="34">
        <f t="shared" si="2"/>
        <v>118</v>
      </c>
      <c r="G70" s="35">
        <v>46240.0</v>
      </c>
      <c r="H70" s="35">
        <v>43876.0</v>
      </c>
      <c r="I70" s="32" t="s">
        <v>86</v>
      </c>
      <c r="J70" s="32" t="s">
        <v>654</v>
      </c>
      <c r="K70" s="32" t="s">
        <v>655</v>
      </c>
      <c r="L70" s="32">
        <v>6.7770246314E10</v>
      </c>
      <c r="M70" s="28" t="s">
        <v>656</v>
      </c>
      <c r="N70" s="32" t="s">
        <v>657</v>
      </c>
      <c r="O70" s="32" t="s">
        <v>658</v>
      </c>
      <c r="P70" s="32" t="s">
        <v>659</v>
      </c>
      <c r="Q70" s="34"/>
      <c r="R70" s="32">
        <v>7.7500151719E10</v>
      </c>
      <c r="S70" s="56">
        <v>28117.0</v>
      </c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>
      <c r="A71" s="13"/>
      <c r="B71" s="32" t="s">
        <v>660</v>
      </c>
      <c r="C71" s="32"/>
      <c r="D71" s="33" t="s">
        <v>661</v>
      </c>
      <c r="E71" s="32" t="s">
        <v>69</v>
      </c>
      <c r="F71" s="34">
        <f t="shared" si="2"/>
        <v>329</v>
      </c>
      <c r="G71" s="35">
        <v>46451.0</v>
      </c>
      <c r="H71" s="35">
        <v>45565.0</v>
      </c>
      <c r="I71" s="11" t="s">
        <v>29</v>
      </c>
      <c r="J71" s="32" t="s">
        <v>662</v>
      </c>
      <c r="K71" s="32">
        <v>9.95619441E8</v>
      </c>
      <c r="L71" s="32">
        <v>1.058592373E9</v>
      </c>
      <c r="M71" s="28" t="s">
        <v>663</v>
      </c>
      <c r="N71" s="32" t="s">
        <v>664</v>
      </c>
      <c r="O71" s="32" t="s">
        <v>665</v>
      </c>
      <c r="P71" s="32" t="s">
        <v>666</v>
      </c>
      <c r="Q71" s="32">
        <v>9.95619441E8</v>
      </c>
      <c r="R71" s="32">
        <v>6.3835329912E10</v>
      </c>
      <c r="S71" s="44">
        <v>32376.0</v>
      </c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>
      <c r="A72" s="13"/>
      <c r="B72" s="32" t="s">
        <v>667</v>
      </c>
      <c r="C72" s="53"/>
      <c r="D72" s="54" t="s">
        <v>668</v>
      </c>
      <c r="E72" s="32" t="s">
        <v>28</v>
      </c>
      <c r="F72" s="34">
        <f t="shared" si="2"/>
        <v>-146</v>
      </c>
      <c r="G72" s="35">
        <v>45976.0</v>
      </c>
      <c r="H72" s="35">
        <v>45611.0</v>
      </c>
      <c r="I72" s="32" t="s">
        <v>86</v>
      </c>
      <c r="J72" s="32" t="s">
        <v>669</v>
      </c>
      <c r="K72" s="32" t="s">
        <v>670</v>
      </c>
      <c r="L72" s="32">
        <v>4.3218562E7</v>
      </c>
      <c r="M72" s="28" t="s">
        <v>671</v>
      </c>
      <c r="N72" s="32" t="s">
        <v>672</v>
      </c>
      <c r="O72" s="32" t="s">
        <v>673</v>
      </c>
      <c r="P72" s="32" t="s">
        <v>674</v>
      </c>
      <c r="Q72" s="34"/>
      <c r="R72" s="32">
        <v>4.3218562E7</v>
      </c>
      <c r="S72" s="44">
        <v>35251.0</v>
      </c>
      <c r="T72" s="32" t="s">
        <v>675</v>
      </c>
      <c r="U72" s="32" t="s">
        <v>676</v>
      </c>
      <c r="V72" s="32" t="s">
        <v>677</v>
      </c>
      <c r="W72" s="34"/>
      <c r="X72" s="32">
        <v>4.3218562E7</v>
      </c>
      <c r="Y72" s="35">
        <v>36045.0</v>
      </c>
      <c r="Z72" s="34"/>
      <c r="AA72" s="34"/>
      <c r="AB72" s="34"/>
      <c r="AC72" s="34"/>
      <c r="AD72" s="34"/>
      <c r="AE72" s="34"/>
      <c r="AF72" s="34"/>
      <c r="AG72" s="34"/>
    </row>
    <row r="73">
      <c r="A73" s="13"/>
      <c r="B73" s="32" t="s">
        <v>678</v>
      </c>
      <c r="C73" s="53"/>
      <c r="D73" s="54" t="s">
        <v>679</v>
      </c>
      <c r="E73" s="32" t="s">
        <v>28</v>
      </c>
      <c r="F73" s="34">
        <f t="shared" si="2"/>
        <v>-136</v>
      </c>
      <c r="G73" s="35">
        <v>45986.0</v>
      </c>
      <c r="H73" s="35">
        <v>45621.0</v>
      </c>
      <c r="I73" s="32" t="s">
        <v>86</v>
      </c>
      <c r="J73" s="32" t="s">
        <v>680</v>
      </c>
      <c r="K73" s="32" t="s">
        <v>681</v>
      </c>
      <c r="L73" s="32">
        <v>2.4263532E7</v>
      </c>
      <c r="M73" s="28" t="s">
        <v>682</v>
      </c>
      <c r="N73" s="32" t="s">
        <v>683</v>
      </c>
      <c r="O73" s="32" t="s">
        <v>684</v>
      </c>
      <c r="P73" s="32" t="s">
        <v>685</v>
      </c>
      <c r="Q73" s="32" t="s">
        <v>681</v>
      </c>
      <c r="R73" s="32">
        <v>1.2048577303E10</v>
      </c>
      <c r="S73" s="44">
        <v>35614.0</v>
      </c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>
      <c r="A74" s="13"/>
      <c r="B74" s="32" t="s">
        <v>686</v>
      </c>
      <c r="C74" s="53"/>
      <c r="D74" s="54" t="s">
        <v>687</v>
      </c>
      <c r="E74" s="32" t="s">
        <v>28</v>
      </c>
      <c r="F74" s="34">
        <f t="shared" si="2"/>
        <v>-129</v>
      </c>
      <c r="G74" s="35">
        <v>45993.0</v>
      </c>
      <c r="H74" s="35">
        <v>45628.0</v>
      </c>
      <c r="I74" s="32" t="s">
        <v>86</v>
      </c>
      <c r="J74" s="32" t="s">
        <v>688</v>
      </c>
      <c r="K74" s="32" t="s">
        <v>689</v>
      </c>
      <c r="L74" s="32">
        <v>5.7758296443E10</v>
      </c>
      <c r="M74" s="28" t="s">
        <v>690</v>
      </c>
      <c r="N74" s="32" t="s">
        <v>543</v>
      </c>
      <c r="O74" s="32" t="s">
        <v>691</v>
      </c>
      <c r="P74" s="32" t="s">
        <v>692</v>
      </c>
      <c r="Q74" s="32" t="s">
        <v>689</v>
      </c>
      <c r="R74" s="32">
        <v>4.1361959401E10</v>
      </c>
      <c r="S74" s="56">
        <v>30285.0</v>
      </c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>
      <c r="A75" s="13"/>
      <c r="B75" s="32" t="s">
        <v>693</v>
      </c>
      <c r="C75" s="34"/>
      <c r="D75" s="33" t="s">
        <v>694</v>
      </c>
      <c r="E75" s="32" t="s">
        <v>69</v>
      </c>
      <c r="F75" s="34">
        <f t="shared" si="2"/>
        <v>281</v>
      </c>
      <c r="G75" s="35">
        <v>46403.0</v>
      </c>
      <c r="H75" s="35">
        <v>45673.0</v>
      </c>
      <c r="I75" s="32" t="s">
        <v>86</v>
      </c>
      <c r="J75" s="32" t="s">
        <v>695</v>
      </c>
      <c r="K75" s="32" t="s">
        <v>696</v>
      </c>
      <c r="L75" s="32">
        <v>4.040564E11</v>
      </c>
      <c r="M75" s="28" t="s">
        <v>697</v>
      </c>
      <c r="N75" s="32" t="s">
        <v>698</v>
      </c>
      <c r="O75" s="32" t="s">
        <v>699</v>
      </c>
      <c r="P75" s="32" t="s">
        <v>700</v>
      </c>
      <c r="Q75" s="32" t="s">
        <v>701</v>
      </c>
      <c r="R75" s="32">
        <v>8.11983106453E11</v>
      </c>
      <c r="S75" s="44">
        <v>30628.0</v>
      </c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>
      <c r="A76" s="13"/>
      <c r="B76" s="32" t="s">
        <v>702</v>
      </c>
      <c r="C76" s="34"/>
      <c r="D76" s="54" t="s">
        <v>703</v>
      </c>
      <c r="E76" s="32" t="s">
        <v>69</v>
      </c>
      <c r="F76" s="34">
        <f t="shared" si="2"/>
        <v>-72</v>
      </c>
      <c r="G76" s="35">
        <v>46050.0</v>
      </c>
      <c r="H76" s="35">
        <v>45685.0</v>
      </c>
      <c r="I76" s="32" t="s">
        <v>86</v>
      </c>
      <c r="J76" s="32" t="s">
        <v>704</v>
      </c>
      <c r="K76" s="32">
        <v>9.1722224E8</v>
      </c>
      <c r="L76" s="32" t="s">
        <v>705</v>
      </c>
      <c r="M76" s="28" t="s">
        <v>706</v>
      </c>
      <c r="N76" s="32" t="s">
        <v>707</v>
      </c>
      <c r="O76" s="32" t="s">
        <v>708</v>
      </c>
      <c r="P76" s="32" t="s">
        <v>709</v>
      </c>
      <c r="Q76" s="32">
        <v>9.1722224E8</v>
      </c>
      <c r="R76" s="32">
        <v>9.5255941946E10</v>
      </c>
      <c r="S76" s="44">
        <v>34201.0</v>
      </c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>
      <c r="A77" s="13"/>
      <c r="B77" s="32" t="s">
        <v>710</v>
      </c>
      <c r="C77" s="34"/>
      <c r="D77" s="54" t="s">
        <v>711</v>
      </c>
      <c r="E77" s="32" t="s">
        <v>28</v>
      </c>
      <c r="F77" s="34">
        <f t="shared" si="2"/>
        <v>303</v>
      </c>
      <c r="G77" s="35">
        <v>46425.0</v>
      </c>
      <c r="H77" s="35">
        <v>46060.0</v>
      </c>
      <c r="I77" s="32" t="s">
        <v>86</v>
      </c>
      <c r="J77" s="32" t="s">
        <v>712</v>
      </c>
      <c r="K77" s="32" t="s">
        <v>713</v>
      </c>
      <c r="L77" s="32">
        <v>5.6703914419E10</v>
      </c>
      <c r="M77" s="28" t="s">
        <v>714</v>
      </c>
      <c r="N77" s="32" t="s">
        <v>715</v>
      </c>
      <c r="O77" s="32" t="s">
        <v>716</v>
      </c>
      <c r="P77" s="32" t="s">
        <v>717</v>
      </c>
      <c r="Q77" s="32">
        <v>9.95251566E8</v>
      </c>
      <c r="R77" s="32">
        <v>1.137432216E10</v>
      </c>
      <c r="S77" s="44">
        <v>28692.0</v>
      </c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>
      <c r="A78" s="13"/>
      <c r="B78" s="32" t="s">
        <v>718</v>
      </c>
      <c r="C78" s="34"/>
      <c r="D78" s="54" t="s">
        <v>719</v>
      </c>
      <c r="E78" s="32" t="s">
        <v>28</v>
      </c>
      <c r="F78" s="34">
        <f t="shared" si="2"/>
        <v>303</v>
      </c>
      <c r="G78" s="35">
        <v>46425.0</v>
      </c>
      <c r="H78" s="35">
        <v>45695.0</v>
      </c>
      <c r="I78" s="32" t="s">
        <v>86</v>
      </c>
      <c r="J78" s="32" t="s">
        <v>720</v>
      </c>
      <c r="K78" s="32">
        <v>3.81642321457E11</v>
      </c>
      <c r="L78" s="32">
        <v>1.04651786E8</v>
      </c>
      <c r="M78" s="28" t="s">
        <v>721</v>
      </c>
      <c r="N78" s="32" t="s">
        <v>340</v>
      </c>
      <c r="O78" s="32" t="s">
        <v>722</v>
      </c>
      <c r="P78" s="32" t="s">
        <v>723</v>
      </c>
      <c r="Q78" s="32">
        <v>3.81642321457E11</v>
      </c>
      <c r="R78" s="32">
        <v>1.904981890035E12</v>
      </c>
      <c r="S78" s="44">
        <v>29695.0</v>
      </c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>
      <c r="A79" s="13"/>
      <c r="B79" s="32" t="s">
        <v>724</v>
      </c>
      <c r="C79" s="34"/>
      <c r="D79" s="32" t="s">
        <v>725</v>
      </c>
      <c r="E79" s="32" t="s">
        <v>28</v>
      </c>
      <c r="F79" s="34">
        <f t="shared" si="2"/>
        <v>-41</v>
      </c>
      <c r="G79" s="35">
        <v>46081.0</v>
      </c>
      <c r="H79" s="35">
        <v>45716.0</v>
      </c>
      <c r="I79" s="32" t="s">
        <v>86</v>
      </c>
      <c r="J79" s="32" t="s">
        <v>726</v>
      </c>
      <c r="K79" s="32">
        <v>9.8392775E7</v>
      </c>
      <c r="L79" s="32">
        <v>3.1178575509E10</v>
      </c>
      <c r="M79" s="28" t="s">
        <v>727</v>
      </c>
      <c r="N79" s="32" t="s">
        <v>285</v>
      </c>
      <c r="O79" s="32" t="s">
        <v>728</v>
      </c>
      <c r="P79" s="32" t="s">
        <v>726</v>
      </c>
      <c r="Q79" s="32">
        <v>9.8392775E7</v>
      </c>
      <c r="R79" s="32">
        <v>7.6574200095E10</v>
      </c>
      <c r="S79" s="56">
        <v>32864.0</v>
      </c>
      <c r="T79" s="32" t="s">
        <v>729</v>
      </c>
      <c r="U79" s="32" t="s">
        <v>730</v>
      </c>
      <c r="V79" s="32" t="s">
        <v>731</v>
      </c>
      <c r="W79" s="32">
        <v>9.9235707E8</v>
      </c>
      <c r="X79" s="32">
        <v>2.0977790998E10</v>
      </c>
      <c r="Y79" s="35">
        <v>32948.0</v>
      </c>
      <c r="Z79" s="34"/>
      <c r="AA79" s="34"/>
      <c r="AB79" s="34"/>
      <c r="AC79" s="34"/>
      <c r="AD79" s="34"/>
      <c r="AE79" s="34"/>
      <c r="AF79" s="34"/>
      <c r="AG79" s="34"/>
    </row>
    <row r="80">
      <c r="A80" s="13"/>
      <c r="B80" s="32" t="s">
        <v>732</v>
      </c>
      <c r="C80" s="34"/>
      <c r="D80" s="54" t="s">
        <v>733</v>
      </c>
      <c r="E80" s="32" t="s">
        <v>28</v>
      </c>
      <c r="F80" s="34">
        <f t="shared" si="2"/>
        <v>-15</v>
      </c>
      <c r="G80" s="57">
        <v>46107.0</v>
      </c>
      <c r="H80" s="35">
        <v>45742.0</v>
      </c>
      <c r="I80" s="32" t="s">
        <v>86</v>
      </c>
      <c r="J80" s="32" t="s">
        <v>734</v>
      </c>
      <c r="K80" s="32">
        <v>9.16606061E8</v>
      </c>
      <c r="L80" s="32">
        <v>4.3354566311E10</v>
      </c>
      <c r="M80" s="28" t="s">
        <v>735</v>
      </c>
      <c r="N80" s="32" t="s">
        <v>736</v>
      </c>
      <c r="O80" s="32" t="s">
        <v>737</v>
      </c>
      <c r="P80" s="32" t="s">
        <v>738</v>
      </c>
      <c r="Q80" s="32">
        <v>9.59080257E8</v>
      </c>
      <c r="R80" s="32">
        <v>8.7870479871E10</v>
      </c>
      <c r="S80" s="44">
        <v>31627.0</v>
      </c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>
      <c r="A81" s="9" t="s">
        <v>739</v>
      </c>
      <c r="B81" s="32" t="s">
        <v>740</v>
      </c>
      <c r="C81" s="34"/>
      <c r="D81" s="54" t="s">
        <v>741</v>
      </c>
      <c r="E81" s="32" t="s">
        <v>69</v>
      </c>
      <c r="F81" s="34">
        <f t="shared" si="2"/>
        <v>352</v>
      </c>
      <c r="G81" s="57">
        <v>46474.0</v>
      </c>
      <c r="H81" s="35">
        <v>45744.0</v>
      </c>
      <c r="I81" s="32" t="s">
        <v>86</v>
      </c>
      <c r="J81" s="32" t="s">
        <v>742</v>
      </c>
      <c r="K81" s="32">
        <v>3.8631229914E10</v>
      </c>
      <c r="L81" s="32">
        <v>6.2315625E7</v>
      </c>
      <c r="M81" s="28" t="s">
        <v>743</v>
      </c>
      <c r="N81" s="32" t="s">
        <v>744</v>
      </c>
      <c r="O81" s="32" t="s">
        <v>745</v>
      </c>
      <c r="P81" s="32" t="s">
        <v>746</v>
      </c>
      <c r="Q81" s="32">
        <v>3.86229914E8</v>
      </c>
      <c r="R81" s="32">
        <v>5.8044205E7</v>
      </c>
      <c r="S81" s="44">
        <v>33862.0</v>
      </c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>
      <c r="A82" s="13"/>
      <c r="B82" s="32" t="s">
        <v>747</v>
      </c>
      <c r="C82" s="34"/>
      <c r="D82" s="33" t="s">
        <v>748</v>
      </c>
      <c r="E82" s="32" t="s">
        <v>28</v>
      </c>
      <c r="F82" s="34">
        <f t="shared" si="2"/>
        <v>-14</v>
      </c>
      <c r="G82" s="57">
        <v>46108.0</v>
      </c>
      <c r="H82" s="57">
        <v>45743.0</v>
      </c>
      <c r="I82" s="32" t="s">
        <v>86</v>
      </c>
      <c r="J82" s="32" t="s">
        <v>749</v>
      </c>
      <c r="K82" s="32">
        <v>9.17984225E8</v>
      </c>
      <c r="L82" s="32">
        <v>6.1202701627E10</v>
      </c>
      <c r="M82" s="28" t="s">
        <v>750</v>
      </c>
      <c r="N82" s="32" t="s">
        <v>751</v>
      </c>
      <c r="O82" s="32" t="s">
        <v>752</v>
      </c>
      <c r="P82" s="32" t="s">
        <v>753</v>
      </c>
      <c r="Q82" s="34"/>
      <c r="R82" s="32">
        <v>6.1202701627E10</v>
      </c>
      <c r="S82" s="44">
        <v>33504.0</v>
      </c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>
      <c r="A83" s="13"/>
      <c r="B83" s="32" t="s">
        <v>754</v>
      </c>
      <c r="C83" s="34"/>
      <c r="D83" s="54" t="s">
        <v>755</v>
      </c>
      <c r="E83" s="32" t="s">
        <v>28</v>
      </c>
      <c r="F83" s="34">
        <f t="shared" si="2"/>
        <v>0</v>
      </c>
      <c r="G83" s="57">
        <v>46122.0</v>
      </c>
      <c r="H83" s="57">
        <v>45757.0</v>
      </c>
      <c r="I83" s="32" t="s">
        <v>86</v>
      </c>
      <c r="J83" s="32" t="s">
        <v>756</v>
      </c>
      <c r="K83" s="32" t="s">
        <v>757</v>
      </c>
      <c r="L83" s="32">
        <v>8.8456877305E10</v>
      </c>
      <c r="M83" s="28" t="s">
        <v>758</v>
      </c>
      <c r="N83" s="32" t="s">
        <v>373</v>
      </c>
      <c r="O83" s="32" t="s">
        <v>759</v>
      </c>
      <c r="P83" s="32" t="s">
        <v>760</v>
      </c>
      <c r="Q83" s="32" t="s">
        <v>761</v>
      </c>
      <c r="R83" s="32">
        <v>4.9785185879E10</v>
      </c>
      <c r="S83" s="44">
        <v>37929.0</v>
      </c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>
      <c r="A84" s="13"/>
      <c r="B84" s="32" t="s">
        <v>762</v>
      </c>
      <c r="C84" s="34"/>
      <c r="D84" s="54" t="s">
        <v>763</v>
      </c>
      <c r="E84" s="32" t="s">
        <v>28</v>
      </c>
      <c r="F84" s="34">
        <f t="shared" si="2"/>
        <v>47</v>
      </c>
      <c r="G84" s="57">
        <v>46169.0</v>
      </c>
      <c r="H84" s="57">
        <v>45804.0</v>
      </c>
      <c r="I84" s="32" t="s">
        <v>86</v>
      </c>
      <c r="J84" s="32" t="s">
        <v>764</v>
      </c>
      <c r="K84" s="32">
        <v>9.18845149E8</v>
      </c>
      <c r="L84" s="32">
        <v>6.396512478E9</v>
      </c>
      <c r="M84" s="28" t="s">
        <v>765</v>
      </c>
      <c r="N84" s="32" t="s">
        <v>57</v>
      </c>
      <c r="O84" s="32" t="s">
        <v>766</v>
      </c>
      <c r="P84" s="32" t="s">
        <v>767</v>
      </c>
      <c r="Q84" s="32">
        <v>9.18845149E8</v>
      </c>
      <c r="R84" s="32">
        <v>6.396512478E9</v>
      </c>
      <c r="S84" s="44">
        <v>35398.0</v>
      </c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>
      <c r="A85" s="13"/>
      <c r="B85" s="32" t="s">
        <v>768</v>
      </c>
      <c r="C85" s="34"/>
      <c r="D85" s="32" t="s">
        <v>769</v>
      </c>
      <c r="E85" s="32" t="s">
        <v>28</v>
      </c>
      <c r="F85" s="34">
        <f t="shared" si="2"/>
        <v>49</v>
      </c>
      <c r="G85" s="57">
        <v>46171.0</v>
      </c>
      <c r="H85" s="57">
        <v>45806.0</v>
      </c>
      <c r="I85" s="32" t="s">
        <v>86</v>
      </c>
      <c r="J85" s="32" t="s">
        <v>770</v>
      </c>
      <c r="K85" s="32">
        <v>9.92143069E8</v>
      </c>
      <c r="L85" s="32">
        <v>7.0591165612E10</v>
      </c>
      <c r="M85" s="28" t="s">
        <v>771</v>
      </c>
      <c r="N85" s="32" t="s">
        <v>772</v>
      </c>
      <c r="O85" s="32" t="s">
        <v>773</v>
      </c>
      <c r="P85" s="32" t="s">
        <v>774</v>
      </c>
      <c r="Q85" s="32" t="s">
        <v>775</v>
      </c>
      <c r="R85" s="32">
        <v>7.0591165612E10</v>
      </c>
      <c r="S85" s="44">
        <v>33613.0</v>
      </c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>
      <c r="A86" s="13"/>
      <c r="B86" s="11" t="s">
        <v>776</v>
      </c>
      <c r="J86" s="9"/>
      <c r="M86" s="17"/>
      <c r="S86" s="23"/>
    </row>
    <row r="87">
      <c r="A87" s="13"/>
      <c r="B87" s="32" t="s">
        <v>777</v>
      </c>
      <c r="C87" s="34"/>
      <c r="D87" s="54" t="s">
        <v>778</v>
      </c>
      <c r="E87" s="32" t="s">
        <v>28</v>
      </c>
      <c r="F87" s="34">
        <f t="shared" ref="F87:F104" si="3">G87-TODAY()</f>
        <v>67</v>
      </c>
      <c r="G87" s="57">
        <v>46189.0</v>
      </c>
      <c r="H87" s="57">
        <v>45824.0</v>
      </c>
      <c r="I87" s="32" t="s">
        <v>86</v>
      </c>
      <c r="J87" s="32" t="s">
        <v>779</v>
      </c>
      <c r="K87" s="32">
        <v>9.93403714E8</v>
      </c>
      <c r="L87" s="32">
        <v>5.1119819722E10</v>
      </c>
      <c r="M87" s="28" t="s">
        <v>780</v>
      </c>
      <c r="N87" s="32" t="s">
        <v>781</v>
      </c>
      <c r="O87" s="32" t="s">
        <v>782</v>
      </c>
      <c r="P87" s="32" t="s">
        <v>783</v>
      </c>
      <c r="Q87" s="32">
        <v>9.93403714E8</v>
      </c>
      <c r="R87" s="32">
        <v>5.896161621E9</v>
      </c>
      <c r="S87" s="44">
        <v>32407.0</v>
      </c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>
      <c r="A88" s="13"/>
      <c r="B88" s="32" t="s">
        <v>784</v>
      </c>
      <c r="C88" s="34"/>
      <c r="D88" s="54" t="s">
        <v>785</v>
      </c>
      <c r="E88" s="32" t="s">
        <v>69</v>
      </c>
      <c r="F88" s="34">
        <f t="shared" si="3"/>
        <v>98</v>
      </c>
      <c r="G88" s="57">
        <v>46220.0</v>
      </c>
      <c r="H88" s="57">
        <v>45855.0</v>
      </c>
      <c r="I88" s="32" t="s">
        <v>86</v>
      </c>
      <c r="J88" s="32" t="s">
        <v>786</v>
      </c>
      <c r="K88" s="32">
        <v>3.85915913729E11</v>
      </c>
      <c r="L88" s="32">
        <v>5.7702289232E10</v>
      </c>
      <c r="M88" s="28" t="s">
        <v>787</v>
      </c>
      <c r="N88" s="32" t="s">
        <v>788</v>
      </c>
      <c r="O88" s="32" t="s">
        <v>789</v>
      </c>
      <c r="P88" s="32" t="s">
        <v>786</v>
      </c>
      <c r="Q88" s="34"/>
      <c r="R88" s="34"/>
      <c r="S88" s="40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>
      <c r="A89" s="13"/>
      <c r="B89" s="32" t="s">
        <v>790</v>
      </c>
      <c r="C89" s="34"/>
      <c r="D89" s="34"/>
      <c r="E89" s="32" t="s">
        <v>69</v>
      </c>
      <c r="F89" s="34">
        <f t="shared" si="3"/>
        <v>140</v>
      </c>
      <c r="G89" s="57">
        <v>46262.0</v>
      </c>
      <c r="H89" s="57">
        <v>45897.0</v>
      </c>
      <c r="I89" s="32" t="s">
        <v>86</v>
      </c>
      <c r="J89" s="34"/>
      <c r="K89" s="34"/>
      <c r="L89" s="32">
        <v>8.6683398113E10</v>
      </c>
      <c r="M89" s="28" t="s">
        <v>791</v>
      </c>
      <c r="N89" s="32" t="s">
        <v>792</v>
      </c>
      <c r="O89" s="32" t="s">
        <v>793</v>
      </c>
      <c r="P89" s="32" t="s">
        <v>794</v>
      </c>
      <c r="Q89" s="34"/>
      <c r="R89" s="34"/>
      <c r="S89" s="40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>
      <c r="A90" s="13"/>
      <c r="B90" s="32" t="s">
        <v>795</v>
      </c>
      <c r="C90" s="34"/>
      <c r="D90" s="54" t="s">
        <v>796</v>
      </c>
      <c r="E90" s="32" t="s">
        <v>28</v>
      </c>
      <c r="F90" s="34">
        <f t="shared" si="3"/>
        <v>159</v>
      </c>
      <c r="G90" s="57">
        <v>46281.0</v>
      </c>
      <c r="H90" s="57">
        <v>45916.0</v>
      </c>
      <c r="I90" s="32" t="s">
        <v>86</v>
      </c>
      <c r="J90" s="32" t="s">
        <v>797</v>
      </c>
      <c r="K90" s="34"/>
      <c r="L90" s="32">
        <v>8.1409215068E10</v>
      </c>
      <c r="M90" s="28" t="s">
        <v>798</v>
      </c>
      <c r="N90" s="32" t="s">
        <v>799</v>
      </c>
      <c r="O90" s="32" t="s">
        <v>800</v>
      </c>
      <c r="P90" s="32" t="s">
        <v>797</v>
      </c>
      <c r="Q90" s="32">
        <v>9.93996131E8</v>
      </c>
      <c r="R90" s="32">
        <v>5.1226108485E10</v>
      </c>
      <c r="S90" s="44">
        <v>31910.0</v>
      </c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>
      <c r="A91" s="13"/>
      <c r="B91" s="32" t="s">
        <v>801</v>
      </c>
      <c r="C91" s="34"/>
      <c r="D91" s="54" t="s">
        <v>802</v>
      </c>
      <c r="E91" s="32" t="s">
        <v>69</v>
      </c>
      <c r="F91" s="34">
        <f t="shared" si="3"/>
        <v>173</v>
      </c>
      <c r="G91" s="57">
        <v>46295.0</v>
      </c>
      <c r="H91" s="57">
        <v>45930.0</v>
      </c>
      <c r="I91" s="32" t="s">
        <v>86</v>
      </c>
      <c r="J91" s="32" t="s">
        <v>803</v>
      </c>
      <c r="K91" s="32" t="s">
        <v>804</v>
      </c>
      <c r="L91" s="32">
        <v>9.3809374555E10</v>
      </c>
      <c r="M91" s="28" t="s">
        <v>805</v>
      </c>
      <c r="N91" s="32" t="s">
        <v>806</v>
      </c>
      <c r="O91" s="32" t="s">
        <v>807</v>
      </c>
      <c r="P91" s="32" t="s">
        <v>808</v>
      </c>
      <c r="Q91" s="32" t="s">
        <v>809</v>
      </c>
      <c r="R91" s="32">
        <v>9.4767639209E10</v>
      </c>
      <c r="S91" s="44">
        <v>23023.0</v>
      </c>
      <c r="T91" s="32" t="s">
        <v>584</v>
      </c>
      <c r="U91" s="32" t="s">
        <v>810</v>
      </c>
      <c r="V91" s="32" t="s">
        <v>811</v>
      </c>
      <c r="W91" s="32" t="s">
        <v>812</v>
      </c>
      <c r="X91" s="32">
        <v>8.4301494916E10</v>
      </c>
      <c r="Y91" s="35">
        <v>27525.0</v>
      </c>
      <c r="Z91" s="34"/>
      <c r="AA91" s="34"/>
      <c r="AB91" s="34"/>
      <c r="AC91" s="34"/>
      <c r="AD91" s="34"/>
      <c r="AE91" s="34"/>
      <c r="AF91" s="34"/>
      <c r="AG91" s="34"/>
    </row>
    <row r="92">
      <c r="A92" s="13"/>
      <c r="B92" s="9" t="s">
        <v>813</v>
      </c>
      <c r="D92" s="20" t="s">
        <v>814</v>
      </c>
      <c r="E92" s="32" t="s">
        <v>28</v>
      </c>
      <c r="F92" s="34">
        <f t="shared" si="3"/>
        <v>172</v>
      </c>
      <c r="G92" s="12">
        <v>46294.0</v>
      </c>
      <c r="H92" s="12">
        <v>45929.0</v>
      </c>
      <c r="I92" s="11" t="s">
        <v>86</v>
      </c>
      <c r="J92" s="11" t="s">
        <v>815</v>
      </c>
      <c r="K92" s="11" t="s">
        <v>816</v>
      </c>
      <c r="L92" s="58" t="s">
        <v>817</v>
      </c>
      <c r="M92" s="15" t="s">
        <v>818</v>
      </c>
      <c r="N92" s="59" t="s">
        <v>177</v>
      </c>
      <c r="O92" s="59" t="s">
        <v>819</v>
      </c>
      <c r="P92" s="59" t="s">
        <v>820</v>
      </c>
      <c r="Q92" s="59">
        <v>9.95959869E8</v>
      </c>
      <c r="R92" s="59">
        <v>1.3772482177E10</v>
      </c>
      <c r="S92" s="60">
        <v>35176.0</v>
      </c>
    </row>
    <row r="93">
      <c r="A93" s="13"/>
      <c r="B93" s="32" t="s">
        <v>821</v>
      </c>
      <c r="C93" s="34"/>
      <c r="D93" s="54" t="s">
        <v>822</v>
      </c>
      <c r="E93" s="32" t="s">
        <v>69</v>
      </c>
      <c r="F93" s="34">
        <f t="shared" si="3"/>
        <v>179</v>
      </c>
      <c r="G93" s="57">
        <v>46301.0</v>
      </c>
      <c r="H93" s="57">
        <v>45936.0</v>
      </c>
      <c r="I93" s="32" t="s">
        <v>86</v>
      </c>
      <c r="J93" s="32" t="s">
        <v>823</v>
      </c>
      <c r="K93" s="32">
        <v>9.95452519E8</v>
      </c>
      <c r="L93" s="32">
        <v>9.0185114093E10</v>
      </c>
      <c r="M93" s="28" t="s">
        <v>824</v>
      </c>
      <c r="N93" s="32" t="s">
        <v>825</v>
      </c>
      <c r="O93" s="32" t="s">
        <v>826</v>
      </c>
      <c r="P93" s="32" t="s">
        <v>823</v>
      </c>
      <c r="Q93" s="34"/>
      <c r="R93" s="32">
        <v>3.0679863497E10</v>
      </c>
      <c r="S93" s="44">
        <v>29277.0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>
      <c r="A94" s="13"/>
      <c r="B94" s="32" t="s">
        <v>827</v>
      </c>
      <c r="C94" s="34"/>
      <c r="D94" s="54" t="s">
        <v>828</v>
      </c>
      <c r="E94" s="32" t="s">
        <v>69</v>
      </c>
      <c r="F94" s="34">
        <f t="shared" si="3"/>
        <v>179</v>
      </c>
      <c r="G94" s="57">
        <v>46301.0</v>
      </c>
      <c r="H94" s="57">
        <v>45936.0</v>
      </c>
      <c r="I94" s="32" t="s">
        <v>86</v>
      </c>
      <c r="J94" s="32" t="s">
        <v>829</v>
      </c>
      <c r="K94" s="32">
        <v>9.53849853E8</v>
      </c>
      <c r="L94" s="32">
        <v>4.5841695639E10</v>
      </c>
      <c r="M94" s="32" t="s">
        <v>830</v>
      </c>
      <c r="N94" s="32" t="s">
        <v>781</v>
      </c>
      <c r="O94" s="32" t="s">
        <v>831</v>
      </c>
      <c r="P94" s="32" t="s">
        <v>832</v>
      </c>
      <c r="Q94" s="32">
        <v>9.53849853E8</v>
      </c>
      <c r="R94" s="32">
        <v>8.4525663395E10</v>
      </c>
      <c r="S94" s="56">
        <v>31410.0</v>
      </c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>
      <c r="A95" s="13"/>
      <c r="B95" s="32" t="s">
        <v>833</v>
      </c>
      <c r="C95" s="34"/>
      <c r="D95" s="54" t="s">
        <v>834</v>
      </c>
      <c r="E95" s="32" t="s">
        <v>28</v>
      </c>
      <c r="F95" s="34">
        <f t="shared" si="3"/>
        <v>183</v>
      </c>
      <c r="G95" s="57">
        <v>46305.0</v>
      </c>
      <c r="H95" s="57">
        <v>45940.0</v>
      </c>
      <c r="I95" s="32" t="s">
        <v>86</v>
      </c>
      <c r="J95" s="32" t="s">
        <v>835</v>
      </c>
      <c r="K95" s="32">
        <v>9.94058401E8</v>
      </c>
      <c r="L95" s="32">
        <v>5.8821854328E10</v>
      </c>
      <c r="M95" s="32" t="s">
        <v>836</v>
      </c>
      <c r="N95" s="32" t="s">
        <v>837</v>
      </c>
      <c r="O95" s="32" t="s">
        <v>838</v>
      </c>
      <c r="P95" s="32" t="s">
        <v>839</v>
      </c>
      <c r="Q95" s="32">
        <v>9.94058401E8</v>
      </c>
      <c r="R95" s="32">
        <v>5.3312772986E10</v>
      </c>
      <c r="S95" s="56">
        <v>29921.0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>
      <c r="A96" s="13"/>
      <c r="B96" s="32" t="s">
        <v>840</v>
      </c>
      <c r="C96" s="34"/>
      <c r="D96" s="54" t="s">
        <v>841</v>
      </c>
      <c r="E96" s="32" t="s">
        <v>28</v>
      </c>
      <c r="F96" s="34">
        <f t="shared" si="3"/>
        <v>186</v>
      </c>
      <c r="G96" s="57">
        <v>46308.0</v>
      </c>
      <c r="H96" s="57">
        <v>45943.0</v>
      </c>
      <c r="I96" s="32" t="s">
        <v>86</v>
      </c>
      <c r="J96" s="32" t="s">
        <v>842</v>
      </c>
      <c r="K96" s="32" t="s">
        <v>843</v>
      </c>
      <c r="L96" s="32">
        <v>4.994994132E9</v>
      </c>
      <c r="M96" s="28" t="s">
        <v>844</v>
      </c>
      <c r="N96" s="32" t="s">
        <v>845</v>
      </c>
      <c r="O96" s="32" t="s">
        <v>846</v>
      </c>
      <c r="P96" s="32" t="s">
        <v>847</v>
      </c>
      <c r="Q96" s="32">
        <v>3.85994329298E11</v>
      </c>
      <c r="R96" s="32">
        <v>3.7831312979E10</v>
      </c>
      <c r="S96" s="44">
        <v>35601.0</v>
      </c>
      <c r="T96" s="32" t="s">
        <v>373</v>
      </c>
      <c r="U96" s="32" t="s">
        <v>848</v>
      </c>
      <c r="V96" s="32" t="s">
        <v>849</v>
      </c>
      <c r="W96" s="32">
        <v>3.8598540314E10</v>
      </c>
      <c r="X96" s="32">
        <v>3.8933723796E10</v>
      </c>
      <c r="Y96" s="35">
        <v>36571.0</v>
      </c>
      <c r="Z96" s="34"/>
      <c r="AA96" s="34"/>
      <c r="AB96" s="34"/>
      <c r="AC96" s="34"/>
      <c r="AD96" s="34"/>
      <c r="AE96" s="34"/>
      <c r="AF96" s="34"/>
      <c r="AG96" s="34"/>
    </row>
    <row r="97">
      <c r="A97" s="13"/>
      <c r="B97" s="32" t="s">
        <v>850</v>
      </c>
      <c r="C97" s="34"/>
      <c r="D97" s="54" t="s">
        <v>851</v>
      </c>
      <c r="E97" s="32" t="s">
        <v>28</v>
      </c>
      <c r="F97" s="34">
        <f t="shared" si="3"/>
        <v>200</v>
      </c>
      <c r="G97" s="57">
        <v>46322.0</v>
      </c>
      <c r="H97" s="57">
        <v>45957.0</v>
      </c>
      <c r="I97" s="32" t="s">
        <v>86</v>
      </c>
      <c r="J97" s="32" t="s">
        <v>852</v>
      </c>
      <c r="K97" s="32">
        <v>9.14483303E8</v>
      </c>
      <c r="L97" s="32">
        <v>2.4234034787E10</v>
      </c>
      <c r="M97" s="28" t="s">
        <v>853</v>
      </c>
      <c r="N97" s="32" t="s">
        <v>373</v>
      </c>
      <c r="O97" s="32" t="s">
        <v>854</v>
      </c>
      <c r="P97" s="32" t="s">
        <v>852</v>
      </c>
      <c r="Q97" s="32">
        <v>9.14483303E8</v>
      </c>
      <c r="R97" s="32">
        <v>2.4234034787E10</v>
      </c>
      <c r="S97" s="44">
        <v>32199.0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>
      <c r="A98" s="13"/>
      <c r="B98" s="32" t="s">
        <v>855</v>
      </c>
      <c r="C98" s="34"/>
      <c r="D98" s="54" t="s">
        <v>856</v>
      </c>
      <c r="E98" s="32" t="s">
        <v>28</v>
      </c>
      <c r="F98" s="34">
        <f t="shared" si="3"/>
        <v>200</v>
      </c>
      <c r="G98" s="57">
        <v>46322.0</v>
      </c>
      <c r="H98" s="57">
        <v>45957.0</v>
      </c>
      <c r="I98" s="32" t="s">
        <v>86</v>
      </c>
      <c r="J98" s="32" t="s">
        <v>857</v>
      </c>
      <c r="K98" s="32">
        <v>9.59112831E8</v>
      </c>
      <c r="L98" s="32">
        <v>1.3219190297E10</v>
      </c>
      <c r="M98" s="28" t="s">
        <v>858</v>
      </c>
      <c r="N98" s="32" t="s">
        <v>859</v>
      </c>
      <c r="O98" s="32" t="s">
        <v>860</v>
      </c>
      <c r="P98" s="32" t="s">
        <v>861</v>
      </c>
      <c r="Q98" s="34"/>
      <c r="R98" s="32">
        <v>7.6905148063E10</v>
      </c>
      <c r="S98" s="44">
        <v>32361.0</v>
      </c>
      <c r="T98" s="32" t="s">
        <v>862</v>
      </c>
      <c r="U98" s="32" t="s">
        <v>863</v>
      </c>
      <c r="V98" s="32" t="s">
        <v>864</v>
      </c>
      <c r="W98" s="34"/>
      <c r="X98" s="32">
        <v>3.2945034246E10</v>
      </c>
      <c r="Y98" s="57">
        <v>35362.0</v>
      </c>
      <c r="Z98" s="34"/>
      <c r="AA98" s="34"/>
      <c r="AB98" s="34"/>
      <c r="AC98" s="34"/>
      <c r="AD98" s="34"/>
      <c r="AE98" s="34"/>
      <c r="AF98" s="34"/>
      <c r="AG98" s="34"/>
    </row>
    <row r="99">
      <c r="A99" s="13"/>
      <c r="B99" s="32" t="s">
        <v>865</v>
      </c>
      <c r="C99" s="34"/>
      <c r="D99" s="33" t="s">
        <v>866</v>
      </c>
      <c r="E99" s="32" t="s">
        <v>28</v>
      </c>
      <c r="F99" s="34">
        <f t="shared" si="3"/>
        <v>218</v>
      </c>
      <c r="G99" s="57">
        <v>46340.0</v>
      </c>
      <c r="H99" s="57">
        <v>45975.0</v>
      </c>
      <c r="I99" s="32" t="s">
        <v>86</v>
      </c>
      <c r="J99" s="32" t="s">
        <v>867</v>
      </c>
      <c r="K99" s="32">
        <v>1.660727E7</v>
      </c>
      <c r="L99" s="32">
        <v>9.8492215367E10</v>
      </c>
      <c r="M99" s="28" t="s">
        <v>868</v>
      </c>
      <c r="N99" s="32" t="s">
        <v>869</v>
      </c>
      <c r="O99" s="32" t="s">
        <v>870</v>
      </c>
      <c r="P99" s="32" t="s">
        <v>867</v>
      </c>
      <c r="Q99" s="32">
        <v>9.98078342E8</v>
      </c>
      <c r="R99" s="34"/>
      <c r="S99" s="44">
        <v>25245.0</v>
      </c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>
      <c r="A100" s="34"/>
      <c r="B100" s="32" t="s">
        <v>871</v>
      </c>
      <c r="C100" s="34"/>
      <c r="D100" s="54" t="s">
        <v>872</v>
      </c>
      <c r="E100" s="32" t="s">
        <v>28</v>
      </c>
      <c r="F100" s="34">
        <f t="shared" si="3"/>
        <v>278</v>
      </c>
      <c r="G100" s="57">
        <v>46400.0</v>
      </c>
      <c r="H100" s="57">
        <v>46035.0</v>
      </c>
      <c r="I100" s="32" t="s">
        <v>86</v>
      </c>
      <c r="J100" s="32" t="s">
        <v>873</v>
      </c>
      <c r="K100" s="32">
        <v>9.25093183E8</v>
      </c>
      <c r="L100" s="32">
        <v>3.7978844514E10</v>
      </c>
      <c r="M100" s="28" t="s">
        <v>874</v>
      </c>
      <c r="N100" s="32" t="s">
        <v>845</v>
      </c>
      <c r="O100" s="32" t="s">
        <v>875</v>
      </c>
      <c r="P100" s="32" t="s">
        <v>873</v>
      </c>
      <c r="Q100" s="32">
        <v>9.25093183E8</v>
      </c>
      <c r="R100" s="32">
        <v>3.7978844514E10</v>
      </c>
      <c r="S100" s="44">
        <v>36909.0</v>
      </c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>
      <c r="A101" s="34"/>
      <c r="B101" s="32" t="s">
        <v>876</v>
      </c>
      <c r="C101" s="34"/>
      <c r="D101" s="54" t="s">
        <v>877</v>
      </c>
      <c r="E101" s="32" t="s">
        <v>28</v>
      </c>
      <c r="F101" s="34">
        <f t="shared" si="3"/>
        <v>274</v>
      </c>
      <c r="G101" s="57">
        <v>46396.0</v>
      </c>
      <c r="H101" s="57">
        <v>46031.0</v>
      </c>
      <c r="I101" s="32" t="s">
        <v>86</v>
      </c>
      <c r="J101" s="32" t="s">
        <v>878</v>
      </c>
      <c r="K101" s="32">
        <v>9.81705213E8</v>
      </c>
      <c r="L101" s="32">
        <v>9.9987892816E10</v>
      </c>
      <c r="M101" s="28" t="s">
        <v>879</v>
      </c>
      <c r="N101" s="32" t="s">
        <v>509</v>
      </c>
      <c r="O101" s="32" t="s">
        <v>880</v>
      </c>
      <c r="P101" s="32" t="s">
        <v>878</v>
      </c>
      <c r="Q101" s="32">
        <v>9.81705214E8</v>
      </c>
      <c r="R101" s="32">
        <v>1.3206398889E10</v>
      </c>
      <c r="S101" s="44">
        <v>30081.0</v>
      </c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>
      <c r="A102" s="32">
        <v>3.86302205E10</v>
      </c>
      <c r="B102" s="32" t="s">
        <v>881</v>
      </c>
      <c r="C102" s="34"/>
      <c r="D102" s="54" t="s">
        <v>882</v>
      </c>
      <c r="E102" s="32" t="s">
        <v>69</v>
      </c>
      <c r="F102" s="34">
        <f t="shared" si="3"/>
        <v>322</v>
      </c>
      <c r="G102" s="57">
        <v>46444.0</v>
      </c>
      <c r="H102" s="57">
        <v>46079.0</v>
      </c>
      <c r="I102" s="32" t="s">
        <v>86</v>
      </c>
      <c r="J102" s="32" t="s">
        <v>883</v>
      </c>
      <c r="K102" s="32">
        <v>3.86302205E10</v>
      </c>
      <c r="L102" s="32" t="s">
        <v>884</v>
      </c>
      <c r="M102" s="28" t="s">
        <v>885</v>
      </c>
      <c r="N102" s="32" t="s">
        <v>886</v>
      </c>
      <c r="O102" s="32" t="s">
        <v>887</v>
      </c>
      <c r="P102" s="32" t="s">
        <v>888</v>
      </c>
      <c r="Q102" s="34"/>
      <c r="R102" s="32" t="s">
        <v>889</v>
      </c>
      <c r="S102" s="44">
        <v>37170.0</v>
      </c>
      <c r="T102" s="32" t="s">
        <v>890</v>
      </c>
      <c r="U102" s="32" t="s">
        <v>891</v>
      </c>
      <c r="V102" s="32" t="s">
        <v>892</v>
      </c>
      <c r="W102" s="34"/>
      <c r="X102" s="32" t="s">
        <v>893</v>
      </c>
      <c r="Y102" s="35">
        <v>27917.0</v>
      </c>
      <c r="Z102" s="34"/>
      <c r="AA102" s="34"/>
      <c r="AB102" s="34"/>
      <c r="AC102" s="34"/>
      <c r="AD102" s="34"/>
      <c r="AE102" s="34"/>
      <c r="AF102" s="34"/>
      <c r="AG102" s="34"/>
    </row>
    <row r="103">
      <c r="A103" s="34"/>
      <c r="B103" s="32" t="s">
        <v>894</v>
      </c>
      <c r="C103" s="34"/>
      <c r="D103" s="54" t="s">
        <v>895</v>
      </c>
      <c r="E103" s="32" t="s">
        <v>69</v>
      </c>
      <c r="F103" s="34">
        <f t="shared" si="3"/>
        <v>342</v>
      </c>
      <c r="G103" s="57">
        <v>46464.0</v>
      </c>
      <c r="H103" s="57">
        <v>46099.0</v>
      </c>
      <c r="I103" s="32" t="s">
        <v>86</v>
      </c>
      <c r="J103" s="32" t="s">
        <v>896</v>
      </c>
      <c r="K103" s="32">
        <v>3.8598277947E10</v>
      </c>
      <c r="L103" s="32">
        <v>2.3773266371E10</v>
      </c>
      <c r="M103" s="28" t="s">
        <v>897</v>
      </c>
      <c r="N103" s="32" t="s">
        <v>34</v>
      </c>
      <c r="O103" s="32" t="s">
        <v>898</v>
      </c>
      <c r="P103" s="32" t="s">
        <v>899</v>
      </c>
      <c r="Q103" s="32">
        <v>3.8598277947E10</v>
      </c>
      <c r="R103" s="32">
        <v>6.208779E10</v>
      </c>
      <c r="S103" s="44">
        <v>27148.0</v>
      </c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>
      <c r="A104" s="34"/>
      <c r="B104" s="32" t="s">
        <v>900</v>
      </c>
      <c r="C104" s="34"/>
      <c r="D104" s="54" t="s">
        <v>901</v>
      </c>
      <c r="E104" s="32" t="s">
        <v>69</v>
      </c>
      <c r="F104" s="34">
        <f t="shared" si="3"/>
        <v>354</v>
      </c>
      <c r="G104" s="57">
        <v>46476.0</v>
      </c>
      <c r="H104" s="57">
        <v>46111.0</v>
      </c>
      <c r="I104" s="32" t="s">
        <v>86</v>
      </c>
      <c r="J104" s="32" t="s">
        <v>902</v>
      </c>
      <c r="K104" s="32" t="s">
        <v>903</v>
      </c>
      <c r="L104" s="32">
        <v>3.301270809E9</v>
      </c>
      <c r="M104" s="28" t="s">
        <v>904</v>
      </c>
      <c r="N104" s="32" t="s">
        <v>905</v>
      </c>
      <c r="O104" s="32" t="s">
        <v>906</v>
      </c>
      <c r="P104" s="32" t="s">
        <v>902</v>
      </c>
      <c r="Q104" s="32" t="s">
        <v>903</v>
      </c>
      <c r="R104" s="32">
        <v>6.7821904589E10</v>
      </c>
      <c r="S104" s="56">
        <v>26261.0</v>
      </c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>
      <c r="A105" s="13"/>
      <c r="J105" s="13"/>
      <c r="M105" s="14"/>
      <c r="S105" s="23"/>
    </row>
    <row r="106">
      <c r="A106" s="13"/>
      <c r="J106" s="13"/>
      <c r="M106" s="14"/>
      <c r="S106" s="23"/>
    </row>
    <row r="107">
      <c r="A107" s="13"/>
      <c r="J107" s="13"/>
      <c r="M107" s="14"/>
      <c r="S107" s="23"/>
    </row>
    <row r="108">
      <c r="A108" s="13"/>
      <c r="J108" s="13"/>
      <c r="M108" s="14"/>
      <c r="S108" s="23"/>
    </row>
    <row r="109">
      <c r="A109" s="13"/>
      <c r="J109" s="13"/>
      <c r="M109" s="14"/>
      <c r="S109" s="23"/>
    </row>
    <row r="110">
      <c r="A110" s="13"/>
      <c r="J110" s="13"/>
      <c r="M110" s="14"/>
      <c r="S110" s="23"/>
    </row>
    <row r="111">
      <c r="A111" s="13"/>
      <c r="J111" s="13"/>
      <c r="M111" s="14"/>
      <c r="S111" s="23"/>
    </row>
    <row r="112">
      <c r="A112" s="13"/>
      <c r="J112" s="13"/>
      <c r="M112" s="14"/>
      <c r="S112" s="23"/>
    </row>
    <row r="113">
      <c r="A113" s="13"/>
      <c r="J113" s="13"/>
      <c r="M113" s="14"/>
      <c r="S113" s="23"/>
    </row>
    <row r="114">
      <c r="A114" s="13"/>
      <c r="J114" s="13"/>
      <c r="M114" s="14"/>
      <c r="S114" s="23"/>
    </row>
    <row r="115">
      <c r="A115" s="13"/>
      <c r="J115" s="13"/>
      <c r="M115" s="14"/>
      <c r="S115" s="23"/>
    </row>
    <row r="116">
      <c r="A116" s="13"/>
      <c r="J116" s="13"/>
      <c r="M116" s="14"/>
      <c r="S116" s="23"/>
    </row>
    <row r="117">
      <c r="A117" s="13"/>
      <c r="J117" s="13"/>
      <c r="M117" s="14"/>
      <c r="S117" s="23"/>
    </row>
    <row r="118">
      <c r="A118" s="13"/>
      <c r="J118" s="13"/>
      <c r="M118" s="14"/>
      <c r="S118" s="23"/>
    </row>
    <row r="119">
      <c r="A119" s="13"/>
      <c r="J119" s="13"/>
      <c r="M119" s="14"/>
      <c r="S119" s="23"/>
    </row>
    <row r="120">
      <c r="A120" s="13"/>
      <c r="J120" s="13"/>
      <c r="M120" s="14"/>
      <c r="S120" s="23"/>
    </row>
    <row r="121">
      <c r="A121" s="13"/>
      <c r="J121" s="13"/>
      <c r="M121" s="14"/>
      <c r="S121" s="23"/>
    </row>
    <row r="122">
      <c r="A122" s="13"/>
      <c r="J122" s="13"/>
      <c r="M122" s="14"/>
      <c r="S122" s="23"/>
    </row>
    <row r="123">
      <c r="A123" s="13"/>
      <c r="J123" s="13"/>
      <c r="M123" s="14"/>
      <c r="S123" s="23"/>
    </row>
    <row r="124">
      <c r="A124" s="13"/>
      <c r="J124" s="13"/>
      <c r="M124" s="14"/>
      <c r="S124" s="23"/>
    </row>
    <row r="125">
      <c r="A125" s="13"/>
      <c r="J125" s="13"/>
      <c r="M125" s="14"/>
      <c r="S125" s="23"/>
    </row>
    <row r="126">
      <c r="A126" s="13"/>
      <c r="J126" s="13"/>
      <c r="M126" s="14"/>
      <c r="S126" s="23"/>
    </row>
    <row r="127">
      <c r="A127" s="13"/>
      <c r="J127" s="13"/>
      <c r="M127" s="14"/>
      <c r="S127" s="23"/>
    </row>
    <row r="128">
      <c r="A128" s="13"/>
      <c r="J128" s="13"/>
      <c r="M128" s="14"/>
      <c r="S128" s="23"/>
    </row>
    <row r="129">
      <c r="A129" s="13"/>
      <c r="J129" s="13"/>
      <c r="M129" s="14"/>
      <c r="S129" s="23"/>
    </row>
    <row r="130">
      <c r="A130" s="13"/>
      <c r="J130" s="13"/>
      <c r="M130" s="14"/>
      <c r="S130" s="23"/>
    </row>
    <row r="131">
      <c r="A131" s="13"/>
      <c r="J131" s="13"/>
      <c r="M131" s="14"/>
      <c r="S131" s="23"/>
    </row>
    <row r="132">
      <c r="A132" s="13"/>
      <c r="J132" s="13"/>
      <c r="M132" s="14"/>
      <c r="S132" s="23"/>
    </row>
    <row r="133">
      <c r="A133" s="13"/>
      <c r="J133" s="13"/>
      <c r="M133" s="14"/>
      <c r="S133" s="23"/>
    </row>
    <row r="134">
      <c r="A134" s="13"/>
      <c r="J134" s="13"/>
      <c r="M134" s="14"/>
      <c r="S134" s="23"/>
    </row>
    <row r="135">
      <c r="A135" s="13"/>
      <c r="J135" s="13"/>
      <c r="M135" s="14"/>
      <c r="S135" s="23"/>
    </row>
    <row r="136">
      <c r="A136" s="13"/>
      <c r="J136" s="13"/>
      <c r="M136" s="14"/>
      <c r="S136" s="23"/>
    </row>
    <row r="137">
      <c r="A137" s="13"/>
      <c r="J137" s="13"/>
      <c r="M137" s="14"/>
      <c r="S137" s="23"/>
    </row>
    <row r="138">
      <c r="A138" s="13"/>
      <c r="J138" s="13"/>
      <c r="M138" s="14"/>
      <c r="S138" s="23"/>
    </row>
    <row r="139">
      <c r="A139" s="13"/>
      <c r="J139" s="13"/>
      <c r="M139" s="14"/>
      <c r="S139" s="23"/>
    </row>
    <row r="140">
      <c r="A140" s="13"/>
      <c r="J140" s="13"/>
      <c r="M140" s="14"/>
      <c r="S140" s="23"/>
    </row>
    <row r="141">
      <c r="A141" s="13"/>
      <c r="J141" s="13"/>
      <c r="M141" s="14"/>
      <c r="S141" s="23"/>
    </row>
    <row r="142">
      <c r="A142" s="13"/>
      <c r="J142" s="13"/>
      <c r="M142" s="14"/>
      <c r="S142" s="23"/>
    </row>
    <row r="143">
      <c r="A143" s="13"/>
      <c r="J143" s="13"/>
      <c r="M143" s="14"/>
      <c r="S143" s="23"/>
    </row>
    <row r="144">
      <c r="A144" s="13"/>
      <c r="J144" s="13"/>
      <c r="M144" s="14"/>
      <c r="S144" s="23"/>
    </row>
    <row r="145">
      <c r="A145" s="13"/>
      <c r="J145" s="13"/>
      <c r="M145" s="14"/>
      <c r="S145" s="23"/>
    </row>
    <row r="146">
      <c r="A146" s="13"/>
      <c r="J146" s="13"/>
      <c r="M146" s="14"/>
      <c r="S146" s="23"/>
    </row>
    <row r="147">
      <c r="A147" s="13"/>
      <c r="J147" s="13"/>
      <c r="M147" s="14"/>
      <c r="S147" s="23"/>
    </row>
    <row r="148">
      <c r="A148" s="13"/>
      <c r="J148" s="13"/>
      <c r="M148" s="14"/>
      <c r="S148" s="23"/>
    </row>
    <row r="149">
      <c r="A149" s="13"/>
      <c r="J149" s="13"/>
      <c r="M149" s="14"/>
      <c r="S149" s="23"/>
    </row>
    <row r="150">
      <c r="A150" s="13"/>
      <c r="J150" s="13"/>
      <c r="M150" s="14"/>
      <c r="S150" s="23"/>
    </row>
    <row r="151">
      <c r="A151" s="13"/>
      <c r="J151" s="13"/>
      <c r="M151" s="14"/>
      <c r="S151" s="23"/>
    </row>
    <row r="152">
      <c r="A152" s="13"/>
      <c r="J152" s="13"/>
      <c r="M152" s="14"/>
      <c r="S152" s="23"/>
    </row>
    <row r="153">
      <c r="A153" s="13"/>
      <c r="J153" s="13"/>
      <c r="M153" s="14"/>
      <c r="S153" s="23"/>
    </row>
    <row r="154">
      <c r="A154" s="13"/>
      <c r="J154" s="13"/>
      <c r="M154" s="14"/>
      <c r="S154" s="23"/>
    </row>
    <row r="155">
      <c r="A155" s="13"/>
      <c r="J155" s="13"/>
      <c r="M155" s="14"/>
      <c r="S155" s="23"/>
    </row>
    <row r="156">
      <c r="A156" s="13"/>
      <c r="J156" s="13"/>
      <c r="M156" s="14"/>
      <c r="S156" s="23"/>
    </row>
    <row r="157">
      <c r="A157" s="13"/>
      <c r="J157" s="13"/>
      <c r="M157" s="14"/>
      <c r="S157" s="23"/>
    </row>
    <row r="158">
      <c r="A158" s="13"/>
      <c r="J158" s="13"/>
      <c r="M158" s="14"/>
      <c r="S158" s="23"/>
    </row>
    <row r="159">
      <c r="A159" s="13"/>
      <c r="J159" s="13"/>
      <c r="M159" s="14"/>
      <c r="S159" s="23"/>
    </row>
    <row r="160">
      <c r="A160" s="13"/>
      <c r="J160" s="13"/>
      <c r="M160" s="14"/>
      <c r="S160" s="23"/>
    </row>
    <row r="161">
      <c r="A161" s="13"/>
      <c r="J161" s="13"/>
      <c r="M161" s="14"/>
      <c r="S161" s="23"/>
    </row>
    <row r="162">
      <c r="A162" s="13"/>
      <c r="J162" s="13"/>
      <c r="M162" s="14"/>
      <c r="S162" s="23"/>
    </row>
    <row r="163">
      <c r="A163" s="13"/>
      <c r="J163" s="13"/>
      <c r="M163" s="14"/>
      <c r="S163" s="23"/>
    </row>
    <row r="164">
      <c r="A164" s="13"/>
      <c r="J164" s="13"/>
      <c r="M164" s="14"/>
      <c r="S164" s="23"/>
    </row>
    <row r="165">
      <c r="A165" s="13"/>
      <c r="J165" s="13"/>
      <c r="M165" s="14"/>
      <c r="S165" s="23"/>
    </row>
    <row r="166">
      <c r="A166" s="13"/>
      <c r="J166" s="13"/>
      <c r="M166" s="14"/>
      <c r="S166" s="23"/>
    </row>
    <row r="167">
      <c r="A167" s="13"/>
      <c r="J167" s="13"/>
      <c r="M167" s="14"/>
      <c r="S167" s="23"/>
    </row>
    <row r="168">
      <c r="A168" s="13"/>
      <c r="J168" s="13"/>
      <c r="M168" s="14"/>
      <c r="S168" s="23"/>
    </row>
    <row r="169">
      <c r="A169" s="13"/>
      <c r="J169" s="13"/>
      <c r="M169" s="14"/>
      <c r="S169" s="23"/>
    </row>
    <row r="170">
      <c r="A170" s="13"/>
      <c r="J170" s="13"/>
      <c r="M170" s="14"/>
      <c r="S170" s="23"/>
    </row>
    <row r="171">
      <c r="A171" s="13"/>
      <c r="J171" s="13"/>
      <c r="M171" s="14"/>
      <c r="S171" s="23"/>
    </row>
    <row r="172">
      <c r="A172" s="13"/>
      <c r="J172" s="13"/>
      <c r="M172" s="14"/>
      <c r="S172" s="23"/>
    </row>
    <row r="173">
      <c r="A173" s="13"/>
      <c r="J173" s="13"/>
      <c r="M173" s="14"/>
      <c r="S173" s="23"/>
    </row>
    <row r="174">
      <c r="A174" s="13"/>
      <c r="J174" s="13"/>
      <c r="M174" s="14"/>
      <c r="S174" s="23"/>
    </row>
    <row r="175">
      <c r="A175" s="13"/>
      <c r="J175" s="13"/>
      <c r="M175" s="14"/>
      <c r="S175" s="23"/>
    </row>
    <row r="176">
      <c r="A176" s="13"/>
      <c r="J176" s="13"/>
      <c r="M176" s="14"/>
      <c r="S176" s="23"/>
    </row>
    <row r="177">
      <c r="A177" s="13"/>
      <c r="J177" s="13"/>
      <c r="M177" s="14"/>
      <c r="S177" s="23"/>
    </row>
    <row r="178">
      <c r="A178" s="13"/>
      <c r="J178" s="13"/>
      <c r="M178" s="14"/>
      <c r="S178" s="23"/>
    </row>
    <row r="179">
      <c r="A179" s="13"/>
      <c r="J179" s="13"/>
      <c r="M179" s="14"/>
      <c r="S179" s="23"/>
    </row>
    <row r="180">
      <c r="A180" s="13"/>
      <c r="J180" s="13"/>
      <c r="M180" s="14"/>
      <c r="S180" s="23"/>
    </row>
    <row r="181">
      <c r="A181" s="13"/>
      <c r="J181" s="13"/>
      <c r="M181" s="14"/>
      <c r="S181" s="23"/>
    </row>
    <row r="182">
      <c r="A182" s="13"/>
      <c r="J182" s="13"/>
      <c r="M182" s="14"/>
      <c r="S182" s="23"/>
    </row>
    <row r="183">
      <c r="A183" s="13"/>
      <c r="J183" s="13"/>
      <c r="M183" s="14"/>
      <c r="S183" s="23"/>
    </row>
    <row r="184">
      <c r="A184" s="13"/>
      <c r="J184" s="13"/>
      <c r="M184" s="14"/>
      <c r="S184" s="23"/>
    </row>
    <row r="185">
      <c r="A185" s="13"/>
      <c r="J185" s="13"/>
      <c r="M185" s="14"/>
      <c r="S185" s="23"/>
    </row>
    <row r="186">
      <c r="A186" s="13"/>
      <c r="J186" s="13"/>
      <c r="M186" s="14"/>
      <c r="S186" s="23"/>
    </row>
    <row r="187">
      <c r="A187" s="13"/>
      <c r="J187" s="13"/>
      <c r="M187" s="14"/>
      <c r="S187" s="23"/>
    </row>
    <row r="188">
      <c r="A188" s="13"/>
      <c r="J188" s="13"/>
      <c r="M188" s="14"/>
      <c r="S188" s="23"/>
    </row>
    <row r="189">
      <c r="A189" s="13"/>
      <c r="J189" s="13"/>
      <c r="M189" s="14"/>
      <c r="S189" s="23"/>
    </row>
    <row r="190">
      <c r="A190" s="13"/>
      <c r="J190" s="13"/>
      <c r="M190" s="14"/>
      <c r="S190" s="23"/>
    </row>
    <row r="191">
      <c r="A191" s="13"/>
      <c r="J191" s="13"/>
      <c r="M191" s="14"/>
      <c r="S191" s="23"/>
    </row>
    <row r="192">
      <c r="A192" s="13"/>
      <c r="J192" s="13"/>
      <c r="M192" s="14"/>
      <c r="S192" s="23"/>
    </row>
    <row r="193">
      <c r="A193" s="13"/>
      <c r="J193" s="13"/>
      <c r="M193" s="14"/>
      <c r="S193" s="23"/>
    </row>
    <row r="194">
      <c r="A194" s="13"/>
      <c r="J194" s="13"/>
      <c r="M194" s="14"/>
      <c r="S194" s="23"/>
    </row>
    <row r="195">
      <c r="A195" s="13"/>
      <c r="J195" s="13"/>
      <c r="M195" s="14"/>
      <c r="S195" s="23"/>
    </row>
    <row r="196">
      <c r="A196" s="13"/>
      <c r="J196" s="13"/>
      <c r="M196" s="14"/>
      <c r="S196" s="23"/>
    </row>
    <row r="197">
      <c r="A197" s="13"/>
      <c r="J197" s="13"/>
      <c r="M197" s="14"/>
      <c r="S197" s="23"/>
    </row>
    <row r="198">
      <c r="A198" s="13"/>
      <c r="J198" s="13"/>
      <c r="M198" s="14"/>
      <c r="S198" s="23"/>
    </row>
    <row r="199">
      <c r="A199" s="13"/>
      <c r="J199" s="13"/>
      <c r="M199" s="14"/>
      <c r="S199" s="23"/>
    </row>
    <row r="200">
      <c r="A200" s="13"/>
      <c r="J200" s="13"/>
      <c r="M200" s="14"/>
      <c r="S200" s="23"/>
    </row>
    <row r="201">
      <c r="A201" s="13"/>
      <c r="J201" s="13"/>
      <c r="M201" s="14"/>
      <c r="S201" s="23"/>
    </row>
    <row r="202">
      <c r="A202" s="13"/>
      <c r="J202" s="13"/>
      <c r="M202" s="14"/>
      <c r="S202" s="23"/>
    </row>
    <row r="203">
      <c r="A203" s="13"/>
      <c r="J203" s="13"/>
      <c r="M203" s="14"/>
      <c r="S203" s="23"/>
    </row>
    <row r="204">
      <c r="A204" s="13"/>
      <c r="J204" s="13"/>
      <c r="M204" s="14"/>
      <c r="S204" s="23"/>
    </row>
    <row r="205">
      <c r="A205" s="13"/>
      <c r="J205" s="13"/>
      <c r="M205" s="14"/>
      <c r="S205" s="23"/>
    </row>
    <row r="206">
      <c r="A206" s="13"/>
      <c r="J206" s="13"/>
      <c r="M206" s="14"/>
      <c r="S206" s="23"/>
    </row>
    <row r="207">
      <c r="A207" s="13"/>
      <c r="J207" s="13"/>
      <c r="M207" s="14"/>
      <c r="S207" s="23"/>
    </row>
    <row r="208">
      <c r="A208" s="13"/>
      <c r="J208" s="13"/>
      <c r="M208" s="14"/>
      <c r="S208" s="23"/>
    </row>
    <row r="209">
      <c r="A209" s="13"/>
      <c r="J209" s="13"/>
      <c r="M209" s="14"/>
      <c r="S209" s="23"/>
    </row>
    <row r="210">
      <c r="A210" s="13"/>
      <c r="J210" s="13"/>
      <c r="M210" s="14"/>
      <c r="S210" s="23"/>
    </row>
    <row r="211">
      <c r="A211" s="13"/>
      <c r="J211" s="13"/>
      <c r="M211" s="14"/>
      <c r="S211" s="23"/>
    </row>
    <row r="212">
      <c r="A212" s="13"/>
      <c r="J212" s="13"/>
      <c r="M212" s="14"/>
      <c r="S212" s="23"/>
    </row>
    <row r="213">
      <c r="A213" s="13"/>
      <c r="J213" s="13"/>
      <c r="M213" s="14"/>
      <c r="S213" s="23"/>
    </row>
    <row r="214">
      <c r="A214" s="13"/>
      <c r="J214" s="13"/>
      <c r="M214" s="14"/>
      <c r="S214" s="23"/>
    </row>
    <row r="215">
      <c r="A215" s="13"/>
      <c r="J215" s="13"/>
      <c r="M215" s="14"/>
      <c r="S215" s="23"/>
    </row>
    <row r="216">
      <c r="A216" s="13"/>
      <c r="J216" s="13"/>
      <c r="M216" s="14"/>
      <c r="S216" s="23"/>
    </row>
    <row r="217">
      <c r="A217" s="13"/>
      <c r="J217" s="13"/>
      <c r="M217" s="14"/>
      <c r="S217" s="23"/>
    </row>
    <row r="218">
      <c r="A218" s="13"/>
      <c r="J218" s="13"/>
      <c r="M218" s="14"/>
      <c r="S218" s="23"/>
    </row>
    <row r="219">
      <c r="A219" s="13"/>
      <c r="J219" s="13"/>
      <c r="M219" s="14"/>
      <c r="S219" s="23"/>
    </row>
    <row r="220">
      <c r="A220" s="13"/>
      <c r="J220" s="13"/>
      <c r="M220" s="14"/>
      <c r="S220" s="23"/>
    </row>
    <row r="221">
      <c r="A221" s="13"/>
      <c r="J221" s="13"/>
      <c r="M221" s="14"/>
      <c r="S221" s="23"/>
    </row>
    <row r="222">
      <c r="A222" s="13"/>
      <c r="J222" s="13"/>
      <c r="M222" s="14"/>
      <c r="S222" s="23"/>
    </row>
    <row r="223">
      <c r="A223" s="13"/>
      <c r="J223" s="13"/>
      <c r="M223" s="14"/>
      <c r="S223" s="23"/>
    </row>
    <row r="224">
      <c r="A224" s="13"/>
      <c r="J224" s="13"/>
      <c r="M224" s="14"/>
      <c r="S224" s="23"/>
    </row>
    <row r="225">
      <c r="A225" s="13"/>
      <c r="J225" s="13"/>
      <c r="M225" s="14"/>
      <c r="S225" s="23"/>
    </row>
    <row r="226">
      <c r="A226" s="13"/>
      <c r="J226" s="13"/>
      <c r="M226" s="14"/>
      <c r="S226" s="23"/>
    </row>
    <row r="227">
      <c r="A227" s="13"/>
      <c r="J227" s="13"/>
      <c r="M227" s="14"/>
      <c r="S227" s="23"/>
    </row>
    <row r="228">
      <c r="A228" s="13"/>
      <c r="J228" s="13"/>
      <c r="M228" s="14"/>
      <c r="S228" s="23"/>
    </row>
    <row r="229">
      <c r="A229" s="13"/>
      <c r="J229" s="13"/>
      <c r="M229" s="14"/>
      <c r="S229" s="23"/>
    </row>
    <row r="230">
      <c r="A230" s="13"/>
      <c r="J230" s="13"/>
      <c r="M230" s="14"/>
      <c r="S230" s="23"/>
    </row>
    <row r="231">
      <c r="A231" s="13"/>
      <c r="J231" s="13"/>
      <c r="M231" s="14"/>
      <c r="S231" s="23"/>
    </row>
    <row r="232">
      <c r="A232" s="13"/>
      <c r="J232" s="13"/>
      <c r="M232" s="14"/>
      <c r="S232" s="23"/>
    </row>
    <row r="233">
      <c r="A233" s="13"/>
      <c r="J233" s="13"/>
      <c r="M233" s="14"/>
      <c r="S233" s="23"/>
    </row>
    <row r="234">
      <c r="A234" s="13"/>
      <c r="J234" s="13"/>
      <c r="M234" s="14"/>
      <c r="S234" s="23"/>
    </row>
    <row r="235">
      <c r="A235" s="13"/>
      <c r="J235" s="13"/>
      <c r="M235" s="14"/>
      <c r="S235" s="23"/>
    </row>
    <row r="236">
      <c r="A236" s="13"/>
      <c r="J236" s="13"/>
      <c r="M236" s="14"/>
      <c r="S236" s="23"/>
    </row>
    <row r="237">
      <c r="A237" s="13"/>
      <c r="J237" s="13"/>
      <c r="M237" s="14"/>
      <c r="S237" s="23"/>
    </row>
    <row r="238">
      <c r="A238" s="13"/>
      <c r="J238" s="13"/>
      <c r="M238" s="14"/>
      <c r="S238" s="23"/>
    </row>
    <row r="239">
      <c r="A239" s="13"/>
      <c r="J239" s="13"/>
      <c r="M239" s="14"/>
      <c r="S239" s="23"/>
    </row>
    <row r="240">
      <c r="A240" s="13"/>
      <c r="J240" s="13"/>
      <c r="M240" s="14"/>
      <c r="S240" s="23"/>
    </row>
    <row r="241">
      <c r="A241" s="13"/>
      <c r="J241" s="13"/>
      <c r="M241" s="14"/>
      <c r="S241" s="23"/>
    </row>
    <row r="242">
      <c r="A242" s="13"/>
      <c r="J242" s="13"/>
      <c r="M242" s="14"/>
      <c r="S242" s="23"/>
    </row>
    <row r="243">
      <c r="A243" s="13"/>
      <c r="J243" s="13"/>
      <c r="M243" s="14"/>
      <c r="S243" s="23"/>
    </row>
    <row r="244">
      <c r="A244" s="13"/>
      <c r="J244" s="13"/>
      <c r="M244" s="14"/>
      <c r="S244" s="23"/>
    </row>
    <row r="245">
      <c r="A245" s="13"/>
      <c r="J245" s="13"/>
      <c r="M245" s="14"/>
      <c r="S245" s="23"/>
    </row>
    <row r="246">
      <c r="A246" s="13"/>
      <c r="J246" s="13"/>
      <c r="M246" s="14"/>
      <c r="S246" s="23"/>
    </row>
    <row r="247">
      <c r="A247" s="13"/>
      <c r="J247" s="13"/>
      <c r="M247" s="14"/>
      <c r="S247" s="23"/>
    </row>
    <row r="248">
      <c r="A248" s="13"/>
      <c r="J248" s="13"/>
      <c r="M248" s="14"/>
      <c r="S248" s="23"/>
    </row>
    <row r="249">
      <c r="A249" s="13"/>
      <c r="J249" s="13"/>
      <c r="M249" s="14"/>
      <c r="S249" s="23"/>
    </row>
    <row r="250">
      <c r="A250" s="13"/>
      <c r="J250" s="13"/>
      <c r="M250" s="14"/>
      <c r="S250" s="23"/>
    </row>
    <row r="251">
      <c r="A251" s="13"/>
      <c r="J251" s="13"/>
      <c r="M251" s="14"/>
      <c r="S251" s="23"/>
    </row>
    <row r="252">
      <c r="A252" s="13"/>
      <c r="J252" s="13"/>
      <c r="M252" s="14"/>
      <c r="S252" s="23"/>
    </row>
    <row r="253">
      <c r="A253" s="13"/>
      <c r="J253" s="13"/>
      <c r="M253" s="14"/>
      <c r="S253" s="23"/>
    </row>
    <row r="254">
      <c r="A254" s="13"/>
      <c r="J254" s="13"/>
      <c r="M254" s="14"/>
      <c r="S254" s="23"/>
    </row>
    <row r="255">
      <c r="A255" s="13"/>
      <c r="J255" s="13"/>
      <c r="M255" s="14"/>
      <c r="S255" s="23"/>
    </row>
    <row r="256">
      <c r="A256" s="13"/>
      <c r="J256" s="13"/>
      <c r="M256" s="14"/>
      <c r="S256" s="23"/>
    </row>
    <row r="257">
      <c r="A257" s="13"/>
      <c r="J257" s="13"/>
      <c r="M257" s="14"/>
      <c r="S257" s="23"/>
    </row>
    <row r="258">
      <c r="A258" s="13"/>
      <c r="J258" s="13"/>
      <c r="M258" s="14"/>
      <c r="S258" s="23"/>
    </row>
    <row r="259">
      <c r="A259" s="13"/>
      <c r="J259" s="13"/>
      <c r="M259" s="14"/>
      <c r="S259" s="23"/>
    </row>
    <row r="260">
      <c r="A260" s="13"/>
      <c r="J260" s="13"/>
      <c r="M260" s="14"/>
      <c r="S260" s="23"/>
    </row>
    <row r="261">
      <c r="A261" s="13"/>
      <c r="J261" s="13"/>
      <c r="M261" s="14"/>
      <c r="S261" s="23"/>
    </row>
    <row r="262">
      <c r="A262" s="13"/>
      <c r="J262" s="13"/>
      <c r="M262" s="14"/>
      <c r="S262" s="23"/>
    </row>
    <row r="263">
      <c r="A263" s="13"/>
      <c r="J263" s="13"/>
      <c r="M263" s="14"/>
      <c r="S263" s="23"/>
    </row>
    <row r="264">
      <c r="A264" s="13"/>
      <c r="J264" s="13"/>
      <c r="M264" s="14"/>
      <c r="S264" s="23"/>
    </row>
    <row r="265">
      <c r="A265" s="13"/>
      <c r="J265" s="13"/>
      <c r="M265" s="14"/>
      <c r="S265" s="23"/>
    </row>
    <row r="266">
      <c r="A266" s="13"/>
      <c r="J266" s="13"/>
      <c r="M266" s="14"/>
      <c r="S266" s="23"/>
    </row>
    <row r="267">
      <c r="A267" s="13"/>
      <c r="J267" s="13"/>
      <c r="M267" s="14"/>
      <c r="S267" s="23"/>
    </row>
    <row r="268">
      <c r="A268" s="13"/>
      <c r="J268" s="13"/>
      <c r="M268" s="14"/>
      <c r="S268" s="23"/>
    </row>
    <row r="269">
      <c r="A269" s="13"/>
      <c r="J269" s="13"/>
      <c r="M269" s="14"/>
      <c r="S269" s="23"/>
    </row>
    <row r="270">
      <c r="A270" s="13"/>
      <c r="J270" s="13"/>
      <c r="M270" s="14"/>
      <c r="S270" s="23"/>
    </row>
    <row r="271">
      <c r="A271" s="13"/>
      <c r="J271" s="13"/>
      <c r="M271" s="14"/>
      <c r="S271" s="23"/>
    </row>
    <row r="272">
      <c r="A272" s="13"/>
      <c r="J272" s="13"/>
      <c r="M272" s="14"/>
      <c r="S272" s="23"/>
    </row>
    <row r="273">
      <c r="A273" s="13"/>
      <c r="J273" s="13"/>
      <c r="M273" s="14"/>
      <c r="S273" s="23"/>
    </row>
    <row r="274">
      <c r="A274" s="13"/>
      <c r="J274" s="13"/>
      <c r="M274" s="14"/>
      <c r="S274" s="23"/>
    </row>
    <row r="275">
      <c r="A275" s="13"/>
      <c r="J275" s="13"/>
      <c r="M275" s="14"/>
      <c r="S275" s="23"/>
    </row>
    <row r="276">
      <c r="A276" s="13"/>
      <c r="J276" s="13"/>
      <c r="M276" s="14"/>
      <c r="S276" s="23"/>
    </row>
    <row r="277">
      <c r="A277" s="13"/>
      <c r="J277" s="13"/>
      <c r="M277" s="14"/>
      <c r="S277" s="23"/>
    </row>
    <row r="278">
      <c r="A278" s="13"/>
      <c r="J278" s="13"/>
      <c r="M278" s="14"/>
      <c r="S278" s="23"/>
    </row>
    <row r="279">
      <c r="A279" s="13"/>
      <c r="J279" s="13"/>
      <c r="M279" s="14"/>
      <c r="S279" s="23"/>
    </row>
    <row r="280">
      <c r="A280" s="13"/>
      <c r="J280" s="13"/>
      <c r="M280" s="14"/>
      <c r="S280" s="23"/>
    </row>
    <row r="281">
      <c r="A281" s="13"/>
      <c r="J281" s="13"/>
      <c r="M281" s="14"/>
      <c r="S281" s="23"/>
    </row>
    <row r="282">
      <c r="A282" s="13"/>
      <c r="J282" s="13"/>
      <c r="M282" s="14"/>
      <c r="S282" s="23"/>
    </row>
    <row r="283">
      <c r="A283" s="13"/>
      <c r="J283" s="13"/>
      <c r="M283" s="14"/>
      <c r="S283" s="23"/>
    </row>
    <row r="284">
      <c r="A284" s="13"/>
      <c r="J284" s="13"/>
      <c r="M284" s="14"/>
      <c r="S284" s="23"/>
    </row>
    <row r="285">
      <c r="A285" s="13"/>
      <c r="J285" s="13"/>
      <c r="M285" s="14"/>
      <c r="S285" s="23"/>
    </row>
    <row r="286">
      <c r="A286" s="13"/>
      <c r="J286" s="13"/>
      <c r="M286" s="14"/>
      <c r="S286" s="23"/>
    </row>
    <row r="287">
      <c r="A287" s="13"/>
      <c r="J287" s="13"/>
      <c r="M287" s="14"/>
      <c r="S287" s="23"/>
    </row>
    <row r="288">
      <c r="A288" s="13"/>
      <c r="J288" s="13"/>
      <c r="M288" s="14"/>
      <c r="S288" s="23"/>
    </row>
    <row r="289">
      <c r="A289" s="13"/>
      <c r="J289" s="13"/>
      <c r="M289" s="14"/>
      <c r="S289" s="23"/>
    </row>
    <row r="290">
      <c r="A290" s="13"/>
      <c r="J290" s="13"/>
      <c r="M290" s="14"/>
      <c r="S290" s="23"/>
    </row>
    <row r="291">
      <c r="A291" s="13"/>
      <c r="J291" s="13"/>
      <c r="M291" s="14"/>
      <c r="S291" s="23"/>
    </row>
    <row r="292">
      <c r="A292" s="13"/>
      <c r="J292" s="13"/>
      <c r="M292" s="14"/>
      <c r="S292" s="23"/>
    </row>
    <row r="293">
      <c r="A293" s="13"/>
      <c r="J293" s="13"/>
      <c r="M293" s="14"/>
      <c r="S293" s="23"/>
    </row>
    <row r="294">
      <c r="A294" s="13"/>
      <c r="J294" s="13"/>
      <c r="M294" s="14"/>
      <c r="S294" s="23"/>
    </row>
    <row r="295">
      <c r="A295" s="13"/>
      <c r="J295" s="13"/>
      <c r="M295" s="14"/>
      <c r="S295" s="23"/>
    </row>
    <row r="296">
      <c r="A296" s="13"/>
      <c r="J296" s="13"/>
      <c r="M296" s="14"/>
      <c r="S296" s="23"/>
    </row>
    <row r="297">
      <c r="A297" s="13"/>
      <c r="J297" s="13"/>
      <c r="M297" s="14"/>
      <c r="S297" s="23"/>
    </row>
    <row r="298">
      <c r="A298" s="13"/>
      <c r="J298" s="13"/>
      <c r="M298" s="14"/>
      <c r="S298" s="23"/>
    </row>
    <row r="299">
      <c r="A299" s="13"/>
      <c r="J299" s="13"/>
      <c r="M299" s="14"/>
      <c r="S299" s="23"/>
    </row>
    <row r="300">
      <c r="A300" s="13"/>
      <c r="J300" s="13"/>
      <c r="M300" s="14"/>
      <c r="S300" s="23"/>
    </row>
    <row r="301">
      <c r="A301" s="13"/>
      <c r="J301" s="13"/>
      <c r="M301" s="14"/>
      <c r="S301" s="23"/>
    </row>
    <row r="302">
      <c r="A302" s="13"/>
      <c r="J302" s="13"/>
      <c r="M302" s="14"/>
      <c r="S302" s="23"/>
    </row>
    <row r="303">
      <c r="A303" s="13"/>
      <c r="J303" s="13"/>
      <c r="M303" s="14"/>
      <c r="S303" s="23"/>
    </row>
    <row r="304">
      <c r="A304" s="13"/>
      <c r="J304" s="13"/>
      <c r="M304" s="14"/>
      <c r="S304" s="23"/>
    </row>
    <row r="305">
      <c r="A305" s="13"/>
      <c r="J305" s="13"/>
      <c r="M305" s="14"/>
      <c r="S305" s="23"/>
    </row>
    <row r="306">
      <c r="A306" s="13"/>
      <c r="J306" s="13"/>
      <c r="M306" s="14"/>
      <c r="S306" s="23"/>
    </row>
    <row r="307">
      <c r="A307" s="13"/>
      <c r="J307" s="13"/>
      <c r="M307" s="14"/>
      <c r="S307" s="23"/>
    </row>
    <row r="308">
      <c r="A308" s="13"/>
      <c r="J308" s="13"/>
      <c r="M308" s="14"/>
      <c r="S308" s="23"/>
    </row>
    <row r="309">
      <c r="A309" s="13"/>
      <c r="J309" s="13"/>
      <c r="M309" s="14"/>
      <c r="S309" s="23"/>
    </row>
    <row r="310">
      <c r="A310" s="13"/>
      <c r="J310" s="13"/>
      <c r="M310" s="14"/>
      <c r="S310" s="23"/>
    </row>
    <row r="311">
      <c r="A311" s="13"/>
      <c r="J311" s="13"/>
      <c r="M311" s="14"/>
      <c r="S311" s="23"/>
    </row>
    <row r="312">
      <c r="A312" s="13"/>
      <c r="J312" s="13"/>
      <c r="M312" s="14"/>
      <c r="S312" s="23"/>
    </row>
    <row r="313">
      <c r="A313" s="13"/>
      <c r="J313" s="13"/>
      <c r="M313" s="14"/>
      <c r="S313" s="23"/>
    </row>
    <row r="314">
      <c r="A314" s="13"/>
      <c r="J314" s="13"/>
      <c r="M314" s="14"/>
      <c r="S314" s="23"/>
    </row>
    <row r="315">
      <c r="A315" s="13"/>
      <c r="J315" s="13"/>
      <c r="M315" s="14"/>
      <c r="S315" s="23"/>
    </row>
    <row r="316">
      <c r="A316" s="13"/>
      <c r="J316" s="13"/>
      <c r="M316" s="14"/>
      <c r="S316" s="23"/>
    </row>
    <row r="317">
      <c r="A317" s="13"/>
      <c r="J317" s="13"/>
      <c r="M317" s="14"/>
      <c r="S317" s="23"/>
    </row>
    <row r="318">
      <c r="A318" s="13"/>
      <c r="J318" s="13"/>
      <c r="M318" s="14"/>
      <c r="S318" s="23"/>
    </row>
    <row r="319">
      <c r="A319" s="13"/>
      <c r="J319" s="13"/>
      <c r="M319" s="14"/>
      <c r="S319" s="23"/>
    </row>
    <row r="320">
      <c r="A320" s="13"/>
      <c r="J320" s="13"/>
      <c r="M320" s="14"/>
      <c r="S320" s="23"/>
    </row>
    <row r="321">
      <c r="A321" s="13"/>
      <c r="J321" s="13"/>
      <c r="M321" s="14"/>
      <c r="S321" s="23"/>
    </row>
    <row r="322">
      <c r="A322" s="13"/>
      <c r="J322" s="13"/>
      <c r="M322" s="14"/>
      <c r="S322" s="23"/>
    </row>
    <row r="323">
      <c r="A323" s="13"/>
      <c r="J323" s="13"/>
      <c r="M323" s="14"/>
      <c r="S323" s="23"/>
    </row>
    <row r="324">
      <c r="A324" s="13"/>
      <c r="J324" s="13"/>
      <c r="M324" s="14"/>
      <c r="S324" s="23"/>
    </row>
    <row r="325">
      <c r="A325" s="13"/>
      <c r="J325" s="13"/>
      <c r="M325" s="14"/>
      <c r="S325" s="23"/>
    </row>
    <row r="326">
      <c r="A326" s="13"/>
      <c r="J326" s="13"/>
      <c r="M326" s="14"/>
      <c r="S326" s="23"/>
    </row>
    <row r="327">
      <c r="A327" s="13"/>
      <c r="J327" s="13"/>
      <c r="M327" s="14"/>
      <c r="S327" s="23"/>
    </row>
    <row r="328">
      <c r="A328" s="13"/>
      <c r="J328" s="13"/>
      <c r="M328" s="14"/>
      <c r="S328" s="23"/>
    </row>
    <row r="329">
      <c r="A329" s="13"/>
      <c r="J329" s="13"/>
      <c r="M329" s="14"/>
      <c r="S329" s="23"/>
    </row>
    <row r="330">
      <c r="A330" s="13"/>
      <c r="J330" s="13"/>
      <c r="M330" s="14"/>
      <c r="S330" s="23"/>
    </row>
    <row r="331">
      <c r="A331" s="13"/>
      <c r="J331" s="13"/>
      <c r="M331" s="14"/>
      <c r="S331" s="23"/>
    </row>
    <row r="332">
      <c r="A332" s="13"/>
      <c r="J332" s="13"/>
      <c r="M332" s="14"/>
      <c r="S332" s="23"/>
    </row>
    <row r="333">
      <c r="A333" s="13"/>
      <c r="J333" s="13"/>
      <c r="M333" s="14"/>
      <c r="S333" s="23"/>
    </row>
    <row r="334">
      <c r="A334" s="13"/>
      <c r="J334" s="13"/>
      <c r="M334" s="14"/>
      <c r="S334" s="23"/>
    </row>
    <row r="335">
      <c r="A335" s="13"/>
      <c r="J335" s="13"/>
      <c r="M335" s="14"/>
      <c r="S335" s="23"/>
    </row>
    <row r="336">
      <c r="A336" s="13"/>
      <c r="J336" s="13"/>
      <c r="M336" s="14"/>
      <c r="S336" s="23"/>
    </row>
    <row r="337">
      <c r="A337" s="13"/>
      <c r="J337" s="13"/>
      <c r="M337" s="14"/>
      <c r="S337" s="23"/>
    </row>
    <row r="338">
      <c r="A338" s="13"/>
      <c r="J338" s="13"/>
      <c r="M338" s="14"/>
      <c r="S338" s="23"/>
    </row>
    <row r="339">
      <c r="A339" s="13"/>
      <c r="J339" s="13"/>
      <c r="M339" s="14"/>
      <c r="S339" s="23"/>
    </row>
    <row r="340">
      <c r="A340" s="13"/>
      <c r="J340" s="13"/>
      <c r="M340" s="14"/>
      <c r="S340" s="23"/>
    </row>
    <row r="341">
      <c r="A341" s="13"/>
      <c r="J341" s="13"/>
      <c r="M341" s="14"/>
      <c r="S341" s="23"/>
    </row>
    <row r="342">
      <c r="A342" s="13"/>
      <c r="J342" s="13"/>
      <c r="M342" s="14"/>
      <c r="S342" s="23"/>
    </row>
    <row r="343">
      <c r="A343" s="13"/>
      <c r="J343" s="13"/>
      <c r="M343" s="14"/>
      <c r="S343" s="23"/>
    </row>
    <row r="344">
      <c r="A344" s="13"/>
      <c r="J344" s="13"/>
      <c r="M344" s="14"/>
      <c r="S344" s="23"/>
    </row>
    <row r="345">
      <c r="A345" s="13"/>
      <c r="J345" s="13"/>
      <c r="M345" s="14"/>
      <c r="S345" s="23"/>
    </row>
    <row r="346">
      <c r="A346" s="13"/>
      <c r="J346" s="13"/>
      <c r="M346" s="14"/>
      <c r="S346" s="23"/>
    </row>
    <row r="347">
      <c r="A347" s="13"/>
      <c r="J347" s="13"/>
      <c r="M347" s="14"/>
      <c r="S347" s="23"/>
    </row>
    <row r="348">
      <c r="A348" s="13"/>
      <c r="J348" s="13"/>
      <c r="M348" s="14"/>
      <c r="S348" s="23"/>
    </row>
    <row r="349">
      <c r="A349" s="13"/>
      <c r="J349" s="13"/>
      <c r="M349" s="14"/>
      <c r="S349" s="23"/>
    </row>
    <row r="350">
      <c r="A350" s="13"/>
      <c r="J350" s="13"/>
      <c r="M350" s="14"/>
      <c r="S350" s="23"/>
    </row>
    <row r="351">
      <c r="A351" s="13"/>
      <c r="J351" s="13"/>
      <c r="M351" s="14"/>
      <c r="S351" s="23"/>
    </row>
    <row r="352">
      <c r="A352" s="13"/>
      <c r="J352" s="13"/>
      <c r="M352" s="14"/>
      <c r="S352" s="23"/>
    </row>
    <row r="353">
      <c r="A353" s="13"/>
      <c r="J353" s="13"/>
      <c r="M353" s="14"/>
      <c r="S353" s="23"/>
    </row>
    <row r="354">
      <c r="A354" s="13"/>
      <c r="J354" s="13"/>
      <c r="M354" s="14"/>
      <c r="S354" s="23"/>
    </row>
    <row r="355">
      <c r="A355" s="13"/>
      <c r="J355" s="13"/>
      <c r="M355" s="14"/>
      <c r="S355" s="23"/>
    </row>
    <row r="356">
      <c r="A356" s="13"/>
      <c r="J356" s="13"/>
      <c r="M356" s="14"/>
      <c r="S356" s="23"/>
    </row>
    <row r="357">
      <c r="A357" s="13"/>
      <c r="J357" s="13"/>
      <c r="M357" s="14"/>
      <c r="S357" s="23"/>
    </row>
    <row r="358">
      <c r="A358" s="13"/>
      <c r="J358" s="13"/>
      <c r="M358" s="14"/>
      <c r="S358" s="23"/>
    </row>
    <row r="359">
      <c r="A359" s="13"/>
      <c r="J359" s="13"/>
      <c r="M359" s="14"/>
      <c r="S359" s="23"/>
    </row>
    <row r="360">
      <c r="A360" s="13"/>
      <c r="J360" s="13"/>
      <c r="M360" s="14"/>
      <c r="S360" s="23"/>
    </row>
    <row r="361">
      <c r="A361" s="13"/>
      <c r="J361" s="13"/>
      <c r="M361" s="14"/>
      <c r="S361" s="23"/>
    </row>
    <row r="362">
      <c r="A362" s="13"/>
      <c r="J362" s="13"/>
      <c r="M362" s="14"/>
      <c r="S362" s="23"/>
    </row>
    <row r="363">
      <c r="A363" s="13"/>
      <c r="J363" s="13"/>
      <c r="M363" s="14"/>
      <c r="S363" s="23"/>
    </row>
    <row r="364">
      <c r="A364" s="13"/>
      <c r="J364" s="13"/>
      <c r="M364" s="14"/>
      <c r="S364" s="23"/>
    </row>
    <row r="365">
      <c r="A365" s="13"/>
      <c r="J365" s="13"/>
      <c r="M365" s="14"/>
      <c r="S365" s="23"/>
    </row>
    <row r="366">
      <c r="A366" s="13"/>
      <c r="J366" s="13"/>
      <c r="M366" s="14"/>
      <c r="S366" s="23"/>
    </row>
    <row r="367">
      <c r="A367" s="13"/>
      <c r="J367" s="13"/>
      <c r="M367" s="14"/>
      <c r="S367" s="23"/>
    </row>
    <row r="368">
      <c r="A368" s="13"/>
      <c r="J368" s="13"/>
      <c r="M368" s="14"/>
      <c r="S368" s="23"/>
    </row>
    <row r="369">
      <c r="A369" s="13"/>
      <c r="J369" s="13"/>
      <c r="M369" s="14"/>
      <c r="S369" s="23"/>
    </row>
    <row r="370">
      <c r="A370" s="13"/>
      <c r="J370" s="13"/>
      <c r="M370" s="14"/>
      <c r="S370" s="23"/>
    </row>
    <row r="371">
      <c r="A371" s="13"/>
      <c r="J371" s="13"/>
      <c r="M371" s="14"/>
      <c r="S371" s="23"/>
    </row>
    <row r="372">
      <c r="A372" s="13"/>
      <c r="J372" s="13"/>
      <c r="M372" s="14"/>
      <c r="S372" s="23"/>
    </row>
    <row r="373">
      <c r="A373" s="13"/>
      <c r="J373" s="13"/>
      <c r="M373" s="14"/>
      <c r="S373" s="23"/>
    </row>
    <row r="374">
      <c r="A374" s="13"/>
      <c r="J374" s="13"/>
      <c r="M374" s="14"/>
      <c r="S374" s="23"/>
    </row>
    <row r="375">
      <c r="A375" s="13"/>
      <c r="J375" s="13"/>
      <c r="M375" s="14"/>
      <c r="S375" s="23"/>
    </row>
    <row r="376">
      <c r="A376" s="13"/>
      <c r="J376" s="13"/>
      <c r="M376" s="14"/>
      <c r="S376" s="23"/>
    </row>
    <row r="377">
      <c r="A377" s="13"/>
      <c r="J377" s="13"/>
      <c r="M377" s="14"/>
      <c r="S377" s="23"/>
    </row>
    <row r="378">
      <c r="A378" s="13"/>
      <c r="J378" s="13"/>
      <c r="M378" s="14"/>
      <c r="S378" s="23"/>
    </row>
    <row r="379">
      <c r="A379" s="13"/>
      <c r="J379" s="13"/>
      <c r="M379" s="14"/>
      <c r="S379" s="23"/>
    </row>
    <row r="380">
      <c r="A380" s="13"/>
      <c r="J380" s="13"/>
      <c r="M380" s="14"/>
      <c r="S380" s="23"/>
    </row>
    <row r="381">
      <c r="A381" s="13"/>
      <c r="J381" s="13"/>
      <c r="M381" s="14"/>
      <c r="S381" s="23"/>
    </row>
    <row r="382">
      <c r="A382" s="13"/>
      <c r="J382" s="13"/>
      <c r="M382" s="14"/>
      <c r="S382" s="23"/>
    </row>
    <row r="383">
      <c r="A383" s="13"/>
      <c r="J383" s="13"/>
      <c r="M383" s="14"/>
      <c r="S383" s="23"/>
    </row>
    <row r="384">
      <c r="A384" s="13"/>
      <c r="J384" s="13"/>
      <c r="M384" s="14"/>
      <c r="S384" s="23"/>
    </row>
    <row r="385">
      <c r="A385" s="13"/>
      <c r="J385" s="13"/>
      <c r="M385" s="14"/>
      <c r="S385" s="23"/>
    </row>
    <row r="386">
      <c r="A386" s="13"/>
      <c r="J386" s="13"/>
      <c r="M386" s="14"/>
      <c r="S386" s="23"/>
    </row>
    <row r="387">
      <c r="A387" s="13"/>
      <c r="J387" s="13"/>
      <c r="M387" s="14"/>
      <c r="S387" s="23"/>
    </row>
    <row r="388">
      <c r="A388" s="13"/>
      <c r="J388" s="13"/>
      <c r="M388" s="14"/>
      <c r="S388" s="23"/>
    </row>
    <row r="389">
      <c r="A389" s="13"/>
      <c r="J389" s="13"/>
      <c r="M389" s="14"/>
      <c r="S389" s="23"/>
    </row>
    <row r="390">
      <c r="A390" s="13"/>
      <c r="J390" s="13"/>
      <c r="M390" s="14"/>
      <c r="S390" s="23"/>
    </row>
    <row r="391">
      <c r="A391" s="13"/>
      <c r="J391" s="13"/>
      <c r="M391" s="14"/>
      <c r="S391" s="23"/>
    </row>
    <row r="392">
      <c r="A392" s="13"/>
      <c r="J392" s="13"/>
      <c r="M392" s="14"/>
      <c r="S392" s="23"/>
    </row>
    <row r="393">
      <c r="A393" s="13"/>
      <c r="J393" s="13"/>
      <c r="M393" s="14"/>
      <c r="S393" s="23"/>
    </row>
    <row r="394">
      <c r="A394" s="13"/>
      <c r="J394" s="13"/>
      <c r="M394" s="14"/>
      <c r="S394" s="23"/>
    </row>
    <row r="395">
      <c r="A395" s="13"/>
      <c r="J395" s="13"/>
      <c r="M395" s="14"/>
      <c r="S395" s="23"/>
    </row>
    <row r="396">
      <c r="A396" s="13"/>
      <c r="J396" s="13"/>
      <c r="M396" s="14"/>
      <c r="S396" s="23"/>
    </row>
    <row r="397">
      <c r="A397" s="13"/>
      <c r="J397" s="13"/>
      <c r="M397" s="14"/>
      <c r="S397" s="23"/>
    </row>
    <row r="398">
      <c r="A398" s="13"/>
      <c r="J398" s="13"/>
      <c r="M398" s="14"/>
      <c r="S398" s="23"/>
    </row>
    <row r="399">
      <c r="A399" s="13"/>
      <c r="J399" s="13"/>
      <c r="M399" s="14"/>
      <c r="S399" s="23"/>
    </row>
    <row r="400">
      <c r="A400" s="13"/>
      <c r="J400" s="13"/>
      <c r="M400" s="14"/>
      <c r="S400" s="23"/>
    </row>
    <row r="401">
      <c r="A401" s="13"/>
      <c r="J401" s="13"/>
      <c r="M401" s="14"/>
      <c r="S401" s="23"/>
    </row>
    <row r="402">
      <c r="A402" s="13"/>
      <c r="J402" s="13"/>
      <c r="M402" s="14"/>
      <c r="S402" s="23"/>
    </row>
    <row r="403">
      <c r="A403" s="13"/>
      <c r="J403" s="13"/>
      <c r="M403" s="14"/>
      <c r="S403" s="23"/>
    </row>
    <row r="404">
      <c r="A404" s="13"/>
      <c r="J404" s="13"/>
      <c r="M404" s="14"/>
      <c r="S404" s="23"/>
    </row>
    <row r="405">
      <c r="A405" s="13"/>
      <c r="J405" s="13"/>
      <c r="M405" s="14"/>
      <c r="S405" s="23"/>
    </row>
    <row r="406">
      <c r="A406" s="13"/>
      <c r="J406" s="13"/>
      <c r="M406" s="14"/>
      <c r="S406" s="23"/>
    </row>
    <row r="407">
      <c r="A407" s="13"/>
      <c r="J407" s="13"/>
      <c r="M407" s="14"/>
      <c r="S407" s="23"/>
    </row>
    <row r="408">
      <c r="A408" s="13"/>
      <c r="J408" s="13"/>
      <c r="M408" s="14"/>
      <c r="S408" s="23"/>
    </row>
    <row r="409">
      <c r="A409" s="13"/>
      <c r="J409" s="13"/>
      <c r="M409" s="14"/>
      <c r="S409" s="23"/>
    </row>
    <row r="410">
      <c r="A410" s="13"/>
      <c r="J410" s="13"/>
      <c r="M410" s="14"/>
      <c r="S410" s="23"/>
    </row>
    <row r="411">
      <c r="A411" s="13"/>
      <c r="J411" s="13"/>
      <c r="M411" s="14"/>
      <c r="S411" s="23"/>
    </row>
    <row r="412">
      <c r="A412" s="13"/>
      <c r="J412" s="13"/>
      <c r="M412" s="14"/>
      <c r="S412" s="23"/>
    </row>
    <row r="413">
      <c r="A413" s="13"/>
      <c r="J413" s="13"/>
      <c r="M413" s="14"/>
      <c r="S413" s="23"/>
    </row>
    <row r="414">
      <c r="A414" s="13"/>
      <c r="J414" s="13"/>
      <c r="M414" s="14"/>
      <c r="S414" s="23"/>
    </row>
    <row r="415">
      <c r="A415" s="13"/>
      <c r="J415" s="13"/>
      <c r="M415" s="14"/>
      <c r="S415" s="23"/>
    </row>
    <row r="416">
      <c r="A416" s="13"/>
      <c r="J416" s="13"/>
      <c r="M416" s="14"/>
      <c r="S416" s="23"/>
    </row>
    <row r="417">
      <c r="A417" s="13"/>
      <c r="J417" s="13"/>
      <c r="M417" s="14"/>
      <c r="S417" s="23"/>
    </row>
    <row r="418">
      <c r="A418" s="13"/>
      <c r="J418" s="13"/>
      <c r="M418" s="14"/>
      <c r="S418" s="23"/>
    </row>
    <row r="419">
      <c r="A419" s="13"/>
      <c r="J419" s="13"/>
      <c r="M419" s="14"/>
      <c r="S419" s="23"/>
    </row>
    <row r="420">
      <c r="A420" s="13"/>
      <c r="J420" s="13"/>
      <c r="M420" s="14"/>
      <c r="S420" s="23"/>
    </row>
    <row r="421">
      <c r="A421" s="13"/>
      <c r="J421" s="13"/>
      <c r="M421" s="14"/>
      <c r="S421" s="23"/>
    </row>
    <row r="422">
      <c r="A422" s="13"/>
      <c r="J422" s="13"/>
      <c r="M422" s="14"/>
      <c r="S422" s="23"/>
    </row>
    <row r="423">
      <c r="A423" s="13"/>
      <c r="J423" s="13"/>
      <c r="M423" s="14"/>
      <c r="S423" s="23"/>
    </row>
    <row r="424">
      <c r="A424" s="13"/>
      <c r="J424" s="13"/>
      <c r="M424" s="14"/>
      <c r="S424" s="23"/>
    </row>
    <row r="425">
      <c r="A425" s="13"/>
      <c r="J425" s="13"/>
      <c r="M425" s="14"/>
      <c r="S425" s="23"/>
    </row>
    <row r="426">
      <c r="A426" s="13"/>
      <c r="J426" s="13"/>
      <c r="M426" s="14"/>
      <c r="S426" s="23"/>
    </row>
    <row r="427">
      <c r="A427" s="13"/>
      <c r="J427" s="13"/>
      <c r="M427" s="14"/>
      <c r="S427" s="23"/>
    </row>
    <row r="428">
      <c r="A428" s="13"/>
      <c r="J428" s="13"/>
      <c r="M428" s="14"/>
      <c r="S428" s="23"/>
    </row>
    <row r="429">
      <c r="A429" s="13"/>
      <c r="J429" s="13"/>
      <c r="M429" s="14"/>
      <c r="S429" s="23"/>
    </row>
    <row r="430">
      <c r="A430" s="13"/>
      <c r="J430" s="13"/>
      <c r="M430" s="14"/>
      <c r="S430" s="23"/>
    </row>
    <row r="431">
      <c r="A431" s="13"/>
      <c r="J431" s="13"/>
      <c r="M431" s="14"/>
      <c r="S431" s="23"/>
    </row>
    <row r="432">
      <c r="A432" s="13"/>
      <c r="J432" s="13"/>
      <c r="M432" s="14"/>
      <c r="S432" s="23"/>
    </row>
    <row r="433">
      <c r="A433" s="13"/>
      <c r="J433" s="13"/>
      <c r="M433" s="14"/>
      <c r="S433" s="23"/>
    </row>
    <row r="434">
      <c r="A434" s="13"/>
      <c r="J434" s="13"/>
      <c r="M434" s="14"/>
      <c r="S434" s="23"/>
    </row>
    <row r="435">
      <c r="A435" s="13"/>
      <c r="J435" s="13"/>
      <c r="M435" s="14"/>
      <c r="S435" s="23"/>
    </row>
    <row r="436">
      <c r="A436" s="13"/>
      <c r="J436" s="13"/>
      <c r="M436" s="14"/>
      <c r="S436" s="23"/>
    </row>
    <row r="437">
      <c r="A437" s="13"/>
      <c r="J437" s="13"/>
      <c r="M437" s="14"/>
      <c r="S437" s="23"/>
    </row>
    <row r="438">
      <c r="A438" s="13"/>
      <c r="J438" s="13"/>
      <c r="M438" s="14"/>
      <c r="S438" s="23"/>
    </row>
    <row r="439">
      <c r="A439" s="13"/>
      <c r="J439" s="13"/>
      <c r="M439" s="14"/>
      <c r="S439" s="23"/>
    </row>
    <row r="440">
      <c r="A440" s="13"/>
      <c r="J440" s="13"/>
      <c r="M440" s="14"/>
      <c r="S440" s="23"/>
    </row>
    <row r="441">
      <c r="A441" s="13"/>
      <c r="J441" s="13"/>
      <c r="M441" s="14"/>
      <c r="S441" s="23"/>
    </row>
    <row r="442">
      <c r="A442" s="13"/>
      <c r="J442" s="13"/>
      <c r="M442" s="14"/>
      <c r="S442" s="23"/>
    </row>
    <row r="443">
      <c r="A443" s="13"/>
      <c r="J443" s="13"/>
      <c r="M443" s="14"/>
      <c r="S443" s="23"/>
    </row>
    <row r="444">
      <c r="A444" s="13"/>
      <c r="J444" s="13"/>
      <c r="M444" s="14"/>
      <c r="S444" s="23"/>
    </row>
    <row r="445">
      <c r="A445" s="13"/>
      <c r="J445" s="13"/>
      <c r="M445" s="14"/>
      <c r="S445" s="23"/>
    </row>
    <row r="446">
      <c r="A446" s="13"/>
      <c r="J446" s="13"/>
      <c r="M446" s="14"/>
      <c r="S446" s="23"/>
    </row>
    <row r="447">
      <c r="A447" s="13"/>
      <c r="J447" s="13"/>
      <c r="M447" s="14"/>
      <c r="S447" s="23"/>
    </row>
    <row r="448">
      <c r="A448" s="13"/>
      <c r="J448" s="13"/>
      <c r="M448" s="14"/>
      <c r="S448" s="23"/>
    </row>
    <row r="449">
      <c r="A449" s="13"/>
      <c r="J449" s="13"/>
      <c r="M449" s="14"/>
      <c r="S449" s="23"/>
    </row>
    <row r="450">
      <c r="A450" s="13"/>
      <c r="J450" s="13"/>
      <c r="M450" s="14"/>
      <c r="S450" s="23"/>
    </row>
    <row r="451">
      <c r="A451" s="13"/>
      <c r="J451" s="13"/>
      <c r="M451" s="14"/>
      <c r="S451" s="23"/>
    </row>
    <row r="452">
      <c r="A452" s="13"/>
      <c r="J452" s="13"/>
      <c r="M452" s="14"/>
      <c r="S452" s="23"/>
    </row>
    <row r="453">
      <c r="A453" s="13"/>
      <c r="J453" s="13"/>
      <c r="M453" s="14"/>
      <c r="S453" s="23"/>
    </row>
    <row r="454">
      <c r="A454" s="13"/>
      <c r="J454" s="13"/>
      <c r="M454" s="14"/>
      <c r="S454" s="23"/>
    </row>
    <row r="455">
      <c r="A455" s="13"/>
      <c r="J455" s="13"/>
      <c r="M455" s="14"/>
      <c r="S455" s="23"/>
    </row>
    <row r="456">
      <c r="A456" s="13"/>
      <c r="J456" s="13"/>
      <c r="M456" s="14"/>
      <c r="S456" s="23"/>
    </row>
    <row r="457">
      <c r="A457" s="13"/>
      <c r="J457" s="13"/>
      <c r="M457" s="14"/>
      <c r="S457" s="23"/>
    </row>
    <row r="458">
      <c r="A458" s="13"/>
      <c r="J458" s="13"/>
      <c r="M458" s="14"/>
      <c r="S458" s="23"/>
    </row>
    <row r="459">
      <c r="A459" s="13"/>
      <c r="J459" s="13"/>
      <c r="M459" s="14"/>
      <c r="S459" s="23"/>
    </row>
    <row r="460">
      <c r="A460" s="13"/>
      <c r="J460" s="13"/>
      <c r="M460" s="14"/>
      <c r="S460" s="23"/>
    </row>
    <row r="461">
      <c r="A461" s="13"/>
      <c r="J461" s="13"/>
      <c r="M461" s="14"/>
      <c r="S461" s="23"/>
    </row>
    <row r="462">
      <c r="A462" s="13"/>
      <c r="J462" s="13"/>
      <c r="M462" s="14"/>
      <c r="S462" s="23"/>
    </row>
    <row r="463">
      <c r="A463" s="13"/>
      <c r="J463" s="13"/>
      <c r="M463" s="14"/>
      <c r="S463" s="23"/>
    </row>
    <row r="464">
      <c r="A464" s="13"/>
      <c r="J464" s="13"/>
      <c r="M464" s="14"/>
      <c r="S464" s="23"/>
    </row>
    <row r="465">
      <c r="A465" s="13"/>
      <c r="J465" s="13"/>
      <c r="M465" s="14"/>
      <c r="S465" s="23"/>
    </row>
    <row r="466">
      <c r="A466" s="13"/>
      <c r="J466" s="13"/>
      <c r="M466" s="14"/>
      <c r="S466" s="23"/>
    </row>
    <row r="467">
      <c r="A467" s="13"/>
      <c r="J467" s="13"/>
      <c r="M467" s="14"/>
      <c r="S467" s="23"/>
    </row>
    <row r="468">
      <c r="A468" s="13"/>
      <c r="J468" s="13"/>
      <c r="M468" s="14"/>
      <c r="S468" s="23"/>
    </row>
    <row r="469">
      <c r="A469" s="13"/>
      <c r="J469" s="13"/>
      <c r="M469" s="14"/>
      <c r="S469" s="23"/>
    </row>
    <row r="470">
      <c r="A470" s="13"/>
      <c r="J470" s="13"/>
      <c r="M470" s="14"/>
      <c r="S470" s="23"/>
    </row>
    <row r="471">
      <c r="A471" s="13"/>
      <c r="J471" s="13"/>
      <c r="M471" s="14"/>
      <c r="S471" s="23"/>
    </row>
    <row r="472">
      <c r="A472" s="13"/>
      <c r="J472" s="13"/>
      <c r="M472" s="14"/>
      <c r="S472" s="23"/>
    </row>
    <row r="473">
      <c r="A473" s="13"/>
      <c r="J473" s="13"/>
      <c r="M473" s="14"/>
      <c r="S473" s="23"/>
    </row>
    <row r="474">
      <c r="A474" s="13"/>
      <c r="J474" s="13"/>
      <c r="M474" s="14"/>
      <c r="S474" s="23"/>
    </row>
    <row r="475">
      <c r="A475" s="13"/>
      <c r="J475" s="13"/>
      <c r="M475" s="14"/>
      <c r="S475" s="23"/>
    </row>
    <row r="476">
      <c r="A476" s="13"/>
      <c r="J476" s="13"/>
      <c r="M476" s="14"/>
      <c r="S476" s="23"/>
    </row>
    <row r="477">
      <c r="A477" s="13"/>
      <c r="J477" s="13"/>
      <c r="M477" s="14"/>
      <c r="S477" s="23"/>
    </row>
    <row r="478">
      <c r="A478" s="13"/>
      <c r="J478" s="13"/>
      <c r="M478" s="14"/>
      <c r="S478" s="23"/>
    </row>
    <row r="479">
      <c r="A479" s="13"/>
      <c r="J479" s="13"/>
      <c r="M479" s="14"/>
      <c r="S479" s="23"/>
    </row>
    <row r="480">
      <c r="A480" s="13"/>
      <c r="J480" s="13"/>
      <c r="M480" s="14"/>
      <c r="S480" s="23"/>
    </row>
    <row r="481">
      <c r="A481" s="13"/>
      <c r="J481" s="13"/>
      <c r="M481" s="14"/>
      <c r="S481" s="23"/>
    </row>
    <row r="482">
      <c r="A482" s="13"/>
      <c r="J482" s="13"/>
      <c r="M482" s="14"/>
      <c r="S482" s="23"/>
    </row>
    <row r="483">
      <c r="A483" s="13"/>
      <c r="J483" s="13"/>
      <c r="M483" s="14"/>
      <c r="S483" s="23"/>
    </row>
    <row r="484">
      <c r="A484" s="13"/>
      <c r="J484" s="13"/>
      <c r="M484" s="14"/>
      <c r="S484" s="23"/>
    </row>
    <row r="485">
      <c r="A485" s="13"/>
      <c r="J485" s="13"/>
      <c r="M485" s="14"/>
      <c r="S485" s="23"/>
    </row>
    <row r="486">
      <c r="A486" s="13"/>
      <c r="J486" s="13"/>
      <c r="M486" s="14"/>
      <c r="S486" s="23"/>
    </row>
    <row r="487">
      <c r="A487" s="13"/>
      <c r="J487" s="13"/>
      <c r="M487" s="14"/>
      <c r="S487" s="23"/>
    </row>
    <row r="488">
      <c r="A488" s="13"/>
      <c r="J488" s="13"/>
      <c r="M488" s="14"/>
      <c r="S488" s="23"/>
    </row>
    <row r="489">
      <c r="A489" s="13"/>
      <c r="J489" s="13"/>
      <c r="M489" s="14"/>
      <c r="S489" s="23"/>
    </row>
    <row r="490">
      <c r="A490" s="13"/>
      <c r="J490" s="13"/>
      <c r="M490" s="14"/>
      <c r="S490" s="23"/>
    </row>
    <row r="491">
      <c r="A491" s="13"/>
      <c r="J491" s="13"/>
      <c r="M491" s="14"/>
      <c r="S491" s="23"/>
    </row>
    <row r="492">
      <c r="A492" s="13"/>
      <c r="J492" s="13"/>
      <c r="M492" s="14"/>
      <c r="S492" s="23"/>
    </row>
    <row r="493">
      <c r="A493" s="13"/>
      <c r="J493" s="13"/>
      <c r="M493" s="14"/>
      <c r="S493" s="23"/>
    </row>
    <row r="494">
      <c r="A494" s="13"/>
      <c r="J494" s="13"/>
      <c r="M494" s="14"/>
      <c r="S494" s="23"/>
    </row>
    <row r="495">
      <c r="A495" s="13"/>
      <c r="J495" s="13"/>
      <c r="M495" s="14"/>
      <c r="S495" s="23"/>
    </row>
    <row r="496">
      <c r="A496" s="13"/>
      <c r="J496" s="13"/>
      <c r="M496" s="14"/>
      <c r="S496" s="23"/>
    </row>
    <row r="497">
      <c r="A497" s="13"/>
      <c r="J497" s="13"/>
      <c r="M497" s="14"/>
      <c r="S497" s="23"/>
    </row>
    <row r="498">
      <c r="A498" s="13"/>
      <c r="J498" s="13"/>
      <c r="M498" s="14"/>
      <c r="S498" s="23"/>
    </row>
    <row r="499">
      <c r="A499" s="13"/>
      <c r="J499" s="13"/>
      <c r="M499" s="14"/>
      <c r="S499" s="23"/>
    </row>
    <row r="500">
      <c r="A500" s="13"/>
      <c r="J500" s="13"/>
      <c r="M500" s="14"/>
      <c r="S500" s="23"/>
    </row>
    <row r="501">
      <c r="A501" s="13"/>
      <c r="J501" s="13"/>
      <c r="M501" s="14"/>
      <c r="S501" s="23"/>
    </row>
    <row r="502">
      <c r="A502" s="13"/>
      <c r="J502" s="13"/>
      <c r="M502" s="14"/>
      <c r="S502" s="23"/>
    </row>
    <row r="503">
      <c r="A503" s="13"/>
      <c r="J503" s="13"/>
      <c r="M503" s="14"/>
      <c r="S503" s="23"/>
    </row>
    <row r="504">
      <c r="A504" s="13"/>
      <c r="J504" s="13"/>
      <c r="M504" s="14"/>
      <c r="S504" s="23"/>
    </row>
    <row r="505">
      <c r="A505" s="13"/>
      <c r="J505" s="13"/>
      <c r="M505" s="14"/>
      <c r="S505" s="23"/>
    </row>
    <row r="506">
      <c r="A506" s="13"/>
      <c r="J506" s="13"/>
      <c r="M506" s="14"/>
      <c r="S506" s="23"/>
    </row>
    <row r="507">
      <c r="A507" s="13"/>
      <c r="J507" s="13"/>
      <c r="M507" s="14"/>
      <c r="S507" s="23"/>
    </row>
    <row r="508">
      <c r="A508" s="13"/>
      <c r="J508" s="13"/>
      <c r="M508" s="14"/>
      <c r="S508" s="23"/>
    </row>
    <row r="509">
      <c r="A509" s="13"/>
      <c r="J509" s="13"/>
      <c r="M509" s="14"/>
      <c r="S509" s="23"/>
    </row>
    <row r="510">
      <c r="A510" s="13"/>
      <c r="J510" s="13"/>
      <c r="M510" s="14"/>
      <c r="S510" s="23"/>
    </row>
    <row r="511">
      <c r="A511" s="13"/>
      <c r="J511" s="13"/>
      <c r="M511" s="14"/>
      <c r="S511" s="23"/>
    </row>
    <row r="512">
      <c r="A512" s="13"/>
      <c r="J512" s="13"/>
      <c r="M512" s="14"/>
      <c r="S512" s="23"/>
    </row>
    <row r="513">
      <c r="A513" s="13"/>
      <c r="J513" s="13"/>
      <c r="M513" s="14"/>
      <c r="S513" s="23"/>
    </row>
    <row r="514">
      <c r="A514" s="13"/>
      <c r="J514" s="13"/>
      <c r="M514" s="14"/>
      <c r="S514" s="23"/>
    </row>
    <row r="515">
      <c r="A515" s="13"/>
      <c r="J515" s="13"/>
      <c r="M515" s="14"/>
      <c r="S515" s="23"/>
    </row>
    <row r="516">
      <c r="A516" s="13"/>
      <c r="J516" s="13"/>
      <c r="M516" s="14"/>
      <c r="S516" s="23"/>
    </row>
    <row r="517">
      <c r="A517" s="13"/>
      <c r="J517" s="13"/>
      <c r="M517" s="14"/>
      <c r="S517" s="23"/>
    </row>
    <row r="518">
      <c r="A518" s="13"/>
      <c r="J518" s="13"/>
      <c r="M518" s="14"/>
      <c r="S518" s="23"/>
    </row>
    <row r="519">
      <c r="A519" s="13"/>
      <c r="J519" s="13"/>
      <c r="M519" s="14"/>
      <c r="S519" s="23"/>
    </row>
    <row r="520">
      <c r="A520" s="13"/>
      <c r="J520" s="13"/>
      <c r="M520" s="14"/>
      <c r="S520" s="23"/>
    </row>
    <row r="521">
      <c r="A521" s="13"/>
      <c r="J521" s="13"/>
      <c r="M521" s="14"/>
      <c r="S521" s="23"/>
    </row>
    <row r="522">
      <c r="A522" s="13"/>
      <c r="J522" s="13"/>
      <c r="M522" s="14"/>
      <c r="S522" s="23"/>
    </row>
    <row r="523">
      <c r="A523" s="13"/>
      <c r="J523" s="13"/>
      <c r="M523" s="14"/>
      <c r="S523" s="23"/>
    </row>
    <row r="524">
      <c r="A524" s="13"/>
      <c r="J524" s="13"/>
      <c r="M524" s="14"/>
      <c r="S524" s="23"/>
    </row>
    <row r="525">
      <c r="A525" s="13"/>
      <c r="J525" s="13"/>
      <c r="M525" s="14"/>
      <c r="S525" s="23"/>
    </row>
    <row r="526">
      <c r="A526" s="13"/>
      <c r="J526" s="13"/>
      <c r="M526" s="14"/>
      <c r="S526" s="23"/>
    </row>
    <row r="527">
      <c r="A527" s="13"/>
      <c r="J527" s="13"/>
      <c r="M527" s="14"/>
      <c r="S527" s="23"/>
    </row>
    <row r="528">
      <c r="A528" s="13"/>
      <c r="J528" s="13"/>
      <c r="M528" s="14"/>
      <c r="S528" s="23"/>
    </row>
    <row r="529">
      <c r="A529" s="13"/>
      <c r="J529" s="13"/>
      <c r="M529" s="14"/>
      <c r="S529" s="23"/>
    </row>
    <row r="530">
      <c r="A530" s="13"/>
      <c r="J530" s="13"/>
      <c r="M530" s="14"/>
      <c r="S530" s="23"/>
    </row>
    <row r="531">
      <c r="A531" s="13"/>
      <c r="J531" s="13"/>
      <c r="M531" s="14"/>
      <c r="S531" s="23"/>
    </row>
    <row r="532">
      <c r="A532" s="13"/>
      <c r="J532" s="13"/>
      <c r="M532" s="14"/>
      <c r="S532" s="23"/>
    </row>
    <row r="533">
      <c r="A533" s="13"/>
      <c r="J533" s="13"/>
      <c r="M533" s="14"/>
      <c r="S533" s="23"/>
    </row>
    <row r="534">
      <c r="A534" s="13"/>
      <c r="J534" s="13"/>
      <c r="M534" s="14"/>
      <c r="S534" s="23"/>
    </row>
    <row r="535">
      <c r="A535" s="13"/>
      <c r="J535" s="13"/>
      <c r="M535" s="14"/>
      <c r="S535" s="23"/>
    </row>
    <row r="536">
      <c r="A536" s="13"/>
      <c r="J536" s="13"/>
      <c r="M536" s="14"/>
      <c r="S536" s="23"/>
    </row>
    <row r="537">
      <c r="A537" s="13"/>
      <c r="J537" s="13"/>
      <c r="M537" s="14"/>
      <c r="S537" s="23"/>
    </row>
    <row r="538">
      <c r="A538" s="13"/>
      <c r="J538" s="13"/>
      <c r="M538" s="14"/>
      <c r="S538" s="23"/>
    </row>
    <row r="539">
      <c r="A539" s="13"/>
      <c r="J539" s="13"/>
      <c r="M539" s="14"/>
      <c r="S539" s="23"/>
    </row>
    <row r="540">
      <c r="A540" s="13"/>
      <c r="J540" s="13"/>
      <c r="M540" s="14"/>
      <c r="S540" s="23"/>
    </row>
    <row r="541">
      <c r="A541" s="13"/>
      <c r="J541" s="13"/>
      <c r="M541" s="14"/>
      <c r="S541" s="23"/>
    </row>
    <row r="542">
      <c r="A542" s="13"/>
      <c r="J542" s="13"/>
      <c r="M542" s="14"/>
      <c r="S542" s="23"/>
    </row>
    <row r="543">
      <c r="A543" s="13"/>
      <c r="J543" s="13"/>
      <c r="M543" s="14"/>
      <c r="S543" s="23"/>
    </row>
    <row r="544">
      <c r="A544" s="13"/>
      <c r="J544" s="13"/>
      <c r="M544" s="14"/>
      <c r="S544" s="23"/>
    </row>
    <row r="545">
      <c r="A545" s="13"/>
      <c r="J545" s="13"/>
      <c r="M545" s="14"/>
      <c r="S545" s="23"/>
    </row>
    <row r="546">
      <c r="A546" s="13"/>
      <c r="J546" s="13"/>
      <c r="M546" s="14"/>
      <c r="S546" s="23"/>
    </row>
    <row r="547">
      <c r="A547" s="13"/>
      <c r="J547" s="13"/>
      <c r="M547" s="14"/>
      <c r="S547" s="23"/>
    </row>
    <row r="548">
      <c r="A548" s="13"/>
      <c r="J548" s="13"/>
      <c r="M548" s="14"/>
      <c r="S548" s="23"/>
    </row>
    <row r="549">
      <c r="A549" s="13"/>
      <c r="J549" s="13"/>
      <c r="M549" s="14"/>
      <c r="S549" s="23"/>
    </row>
    <row r="550">
      <c r="A550" s="13"/>
      <c r="J550" s="13"/>
      <c r="M550" s="14"/>
      <c r="S550" s="23"/>
    </row>
    <row r="551">
      <c r="A551" s="13"/>
      <c r="J551" s="13"/>
      <c r="M551" s="14"/>
      <c r="S551" s="23"/>
    </row>
    <row r="552">
      <c r="A552" s="13"/>
      <c r="J552" s="13"/>
      <c r="M552" s="14"/>
      <c r="S552" s="23"/>
    </row>
    <row r="553">
      <c r="A553" s="13"/>
      <c r="J553" s="13"/>
      <c r="M553" s="14"/>
      <c r="S553" s="23"/>
    </row>
    <row r="554">
      <c r="A554" s="13"/>
      <c r="J554" s="13"/>
      <c r="M554" s="14"/>
      <c r="S554" s="23"/>
    </row>
    <row r="555">
      <c r="A555" s="13"/>
      <c r="J555" s="13"/>
      <c r="M555" s="14"/>
      <c r="S555" s="23"/>
    </row>
    <row r="556">
      <c r="A556" s="13"/>
      <c r="J556" s="13"/>
      <c r="M556" s="14"/>
      <c r="S556" s="23"/>
    </row>
    <row r="557">
      <c r="A557" s="13"/>
      <c r="J557" s="13"/>
      <c r="M557" s="14"/>
      <c r="S557" s="23"/>
    </row>
    <row r="558">
      <c r="A558" s="13"/>
      <c r="J558" s="13"/>
      <c r="M558" s="14"/>
      <c r="S558" s="23"/>
    </row>
    <row r="559">
      <c r="A559" s="13"/>
      <c r="J559" s="13"/>
      <c r="M559" s="14"/>
      <c r="S559" s="23"/>
    </row>
    <row r="560">
      <c r="A560" s="13"/>
      <c r="J560" s="13"/>
      <c r="M560" s="14"/>
      <c r="S560" s="23"/>
    </row>
    <row r="561">
      <c r="A561" s="13"/>
      <c r="J561" s="13"/>
      <c r="M561" s="14"/>
      <c r="S561" s="23"/>
    </row>
    <row r="562">
      <c r="A562" s="13"/>
      <c r="J562" s="13"/>
      <c r="M562" s="14"/>
      <c r="S562" s="23"/>
    </row>
    <row r="563">
      <c r="A563" s="13"/>
      <c r="J563" s="13"/>
      <c r="M563" s="14"/>
      <c r="S563" s="23"/>
    </row>
    <row r="564">
      <c r="A564" s="13"/>
      <c r="J564" s="13"/>
      <c r="M564" s="14"/>
      <c r="S564" s="23"/>
    </row>
    <row r="565">
      <c r="A565" s="13"/>
      <c r="J565" s="13"/>
      <c r="M565" s="14"/>
      <c r="S565" s="23"/>
    </row>
    <row r="566">
      <c r="A566" s="13"/>
      <c r="J566" s="13"/>
      <c r="M566" s="14"/>
      <c r="S566" s="23"/>
    </row>
    <row r="567">
      <c r="A567" s="13"/>
      <c r="J567" s="13"/>
      <c r="M567" s="14"/>
      <c r="S567" s="23"/>
    </row>
    <row r="568">
      <c r="A568" s="13"/>
      <c r="J568" s="13"/>
      <c r="M568" s="14"/>
      <c r="S568" s="23"/>
    </row>
    <row r="569">
      <c r="A569" s="13"/>
      <c r="J569" s="13"/>
      <c r="M569" s="14"/>
      <c r="S569" s="23"/>
    </row>
    <row r="570">
      <c r="A570" s="13"/>
      <c r="J570" s="13"/>
      <c r="M570" s="14"/>
      <c r="S570" s="23"/>
    </row>
    <row r="571">
      <c r="A571" s="13"/>
      <c r="J571" s="13"/>
      <c r="M571" s="14"/>
      <c r="S571" s="23"/>
    </row>
    <row r="572">
      <c r="A572" s="13"/>
      <c r="J572" s="13"/>
      <c r="M572" s="14"/>
      <c r="S572" s="23"/>
    </row>
    <row r="573">
      <c r="A573" s="13"/>
      <c r="J573" s="13"/>
      <c r="M573" s="14"/>
      <c r="S573" s="23"/>
    </row>
    <row r="574">
      <c r="A574" s="13"/>
      <c r="J574" s="13"/>
      <c r="M574" s="14"/>
      <c r="S574" s="23"/>
    </row>
    <row r="575">
      <c r="A575" s="13"/>
      <c r="J575" s="13"/>
      <c r="M575" s="14"/>
      <c r="S575" s="23"/>
    </row>
    <row r="576">
      <c r="A576" s="13"/>
      <c r="J576" s="13"/>
      <c r="M576" s="14"/>
      <c r="S576" s="23"/>
    </row>
    <row r="577">
      <c r="A577" s="13"/>
      <c r="J577" s="13"/>
      <c r="M577" s="14"/>
      <c r="S577" s="23"/>
    </row>
    <row r="578">
      <c r="A578" s="13"/>
      <c r="J578" s="13"/>
      <c r="M578" s="14"/>
      <c r="S578" s="23"/>
    </row>
    <row r="579">
      <c r="A579" s="13"/>
      <c r="J579" s="13"/>
      <c r="M579" s="14"/>
      <c r="S579" s="23"/>
    </row>
    <row r="580">
      <c r="A580" s="13"/>
      <c r="J580" s="13"/>
      <c r="M580" s="14"/>
      <c r="S580" s="23"/>
    </row>
    <row r="581">
      <c r="A581" s="13"/>
      <c r="J581" s="13"/>
      <c r="M581" s="14"/>
      <c r="S581" s="23"/>
    </row>
    <row r="582">
      <c r="A582" s="13"/>
      <c r="J582" s="13"/>
      <c r="M582" s="14"/>
      <c r="S582" s="23"/>
    </row>
    <row r="583">
      <c r="A583" s="13"/>
      <c r="J583" s="13"/>
      <c r="M583" s="14"/>
      <c r="S583" s="23"/>
    </row>
    <row r="584">
      <c r="A584" s="13"/>
      <c r="J584" s="13"/>
      <c r="M584" s="14"/>
      <c r="S584" s="23"/>
    </row>
    <row r="585">
      <c r="A585" s="13"/>
      <c r="J585" s="13"/>
      <c r="M585" s="14"/>
      <c r="S585" s="23"/>
    </row>
    <row r="586">
      <c r="A586" s="13"/>
      <c r="J586" s="13"/>
      <c r="M586" s="14"/>
      <c r="S586" s="23"/>
    </row>
    <row r="587">
      <c r="A587" s="13"/>
      <c r="J587" s="13"/>
      <c r="M587" s="14"/>
      <c r="S587" s="23"/>
    </row>
    <row r="588">
      <c r="A588" s="13"/>
      <c r="J588" s="13"/>
      <c r="M588" s="14"/>
      <c r="S588" s="23"/>
    </row>
    <row r="589">
      <c r="A589" s="13"/>
      <c r="J589" s="13"/>
      <c r="M589" s="14"/>
      <c r="S589" s="23"/>
    </row>
    <row r="590">
      <c r="A590" s="13"/>
      <c r="J590" s="13"/>
      <c r="M590" s="14"/>
      <c r="S590" s="23"/>
    </row>
    <row r="591">
      <c r="A591" s="13"/>
      <c r="J591" s="13"/>
      <c r="M591" s="14"/>
      <c r="S591" s="23"/>
    </row>
    <row r="592">
      <c r="A592" s="13"/>
      <c r="J592" s="13"/>
      <c r="M592" s="14"/>
      <c r="S592" s="23"/>
    </row>
    <row r="593">
      <c r="A593" s="13"/>
      <c r="J593" s="13"/>
      <c r="M593" s="14"/>
      <c r="S593" s="23"/>
    </row>
    <row r="594">
      <c r="A594" s="13"/>
      <c r="J594" s="13"/>
      <c r="M594" s="14"/>
      <c r="S594" s="23"/>
    </row>
    <row r="595">
      <c r="A595" s="13"/>
      <c r="J595" s="13"/>
      <c r="M595" s="14"/>
      <c r="S595" s="23"/>
    </row>
    <row r="596">
      <c r="A596" s="13"/>
      <c r="J596" s="13"/>
      <c r="M596" s="14"/>
      <c r="S596" s="23"/>
    </row>
    <row r="597">
      <c r="A597" s="13"/>
      <c r="J597" s="13"/>
      <c r="M597" s="14"/>
      <c r="S597" s="23"/>
    </row>
    <row r="598">
      <c r="A598" s="13"/>
      <c r="J598" s="13"/>
      <c r="M598" s="14"/>
      <c r="S598" s="23"/>
    </row>
    <row r="599">
      <c r="A599" s="13"/>
      <c r="J599" s="13"/>
      <c r="M599" s="14"/>
      <c r="S599" s="23"/>
    </row>
    <row r="600">
      <c r="A600" s="13"/>
      <c r="J600" s="13"/>
      <c r="M600" s="14"/>
      <c r="S600" s="23"/>
    </row>
    <row r="601">
      <c r="A601" s="13"/>
      <c r="J601" s="13"/>
      <c r="M601" s="14"/>
      <c r="S601" s="23"/>
    </row>
    <row r="602">
      <c r="A602" s="13"/>
      <c r="J602" s="13"/>
      <c r="M602" s="14"/>
      <c r="S602" s="23"/>
    </row>
    <row r="603">
      <c r="A603" s="13"/>
      <c r="J603" s="13"/>
      <c r="M603" s="14"/>
      <c r="S603" s="23"/>
    </row>
    <row r="604">
      <c r="A604" s="13"/>
      <c r="J604" s="13"/>
      <c r="M604" s="14"/>
      <c r="S604" s="23"/>
    </row>
    <row r="605">
      <c r="A605" s="13"/>
      <c r="J605" s="13"/>
      <c r="M605" s="14"/>
      <c r="S605" s="23"/>
    </row>
    <row r="606">
      <c r="A606" s="13"/>
      <c r="J606" s="13"/>
      <c r="M606" s="14"/>
      <c r="S606" s="23"/>
    </row>
    <row r="607">
      <c r="A607" s="13"/>
      <c r="J607" s="13"/>
      <c r="M607" s="14"/>
      <c r="S607" s="23"/>
    </row>
    <row r="608">
      <c r="A608" s="13"/>
      <c r="J608" s="13"/>
      <c r="M608" s="14"/>
      <c r="S608" s="23"/>
    </row>
    <row r="609">
      <c r="A609" s="13"/>
      <c r="J609" s="13"/>
      <c r="M609" s="14"/>
      <c r="S609" s="23"/>
    </row>
    <row r="610">
      <c r="A610" s="13"/>
      <c r="J610" s="13"/>
      <c r="M610" s="14"/>
      <c r="S610" s="23"/>
    </row>
    <row r="611">
      <c r="A611" s="13"/>
      <c r="J611" s="13"/>
      <c r="M611" s="14"/>
      <c r="S611" s="23"/>
    </row>
    <row r="612">
      <c r="A612" s="13"/>
      <c r="J612" s="13"/>
      <c r="M612" s="14"/>
      <c r="S612" s="23"/>
    </row>
    <row r="613">
      <c r="A613" s="13"/>
      <c r="J613" s="13"/>
      <c r="M613" s="14"/>
      <c r="S613" s="23"/>
    </row>
    <row r="614">
      <c r="A614" s="13"/>
      <c r="J614" s="13"/>
      <c r="M614" s="14"/>
      <c r="S614" s="23"/>
    </row>
    <row r="615">
      <c r="A615" s="13"/>
      <c r="J615" s="13"/>
      <c r="M615" s="14"/>
      <c r="S615" s="23"/>
    </row>
    <row r="616">
      <c r="A616" s="13"/>
      <c r="J616" s="13"/>
      <c r="M616" s="14"/>
      <c r="S616" s="23"/>
    </row>
    <row r="617">
      <c r="A617" s="13"/>
      <c r="J617" s="13"/>
      <c r="M617" s="14"/>
      <c r="S617" s="23"/>
    </row>
    <row r="618">
      <c r="A618" s="13"/>
      <c r="J618" s="13"/>
      <c r="M618" s="14"/>
      <c r="S618" s="23"/>
    </row>
    <row r="619">
      <c r="A619" s="13"/>
      <c r="J619" s="13"/>
      <c r="M619" s="14"/>
      <c r="S619" s="23"/>
    </row>
    <row r="620">
      <c r="A620" s="13"/>
      <c r="J620" s="13"/>
      <c r="M620" s="14"/>
      <c r="S620" s="23"/>
    </row>
    <row r="621">
      <c r="A621" s="13"/>
      <c r="J621" s="13"/>
      <c r="M621" s="14"/>
      <c r="S621" s="23"/>
    </row>
    <row r="622">
      <c r="A622" s="13"/>
      <c r="J622" s="13"/>
      <c r="M622" s="14"/>
      <c r="S622" s="23"/>
    </row>
    <row r="623">
      <c r="A623" s="13"/>
      <c r="J623" s="13"/>
      <c r="M623" s="14"/>
      <c r="S623" s="23"/>
    </row>
    <row r="624">
      <c r="A624" s="13"/>
      <c r="J624" s="13"/>
      <c r="M624" s="14"/>
      <c r="S624" s="23"/>
    </row>
    <row r="625">
      <c r="A625" s="13"/>
      <c r="J625" s="13"/>
      <c r="M625" s="14"/>
      <c r="S625" s="23"/>
    </row>
    <row r="626">
      <c r="A626" s="13"/>
      <c r="J626" s="13"/>
      <c r="M626" s="14"/>
      <c r="S626" s="23"/>
    </row>
    <row r="627">
      <c r="A627" s="13"/>
      <c r="J627" s="13"/>
      <c r="M627" s="14"/>
      <c r="S627" s="23"/>
    </row>
    <row r="628">
      <c r="A628" s="13"/>
      <c r="J628" s="13"/>
      <c r="M628" s="14"/>
      <c r="S628" s="23"/>
    </row>
    <row r="629">
      <c r="A629" s="13"/>
      <c r="J629" s="13"/>
      <c r="M629" s="14"/>
      <c r="S629" s="23"/>
    </row>
    <row r="630">
      <c r="A630" s="13"/>
      <c r="J630" s="13"/>
      <c r="M630" s="14"/>
      <c r="S630" s="23"/>
    </row>
    <row r="631">
      <c r="A631" s="13"/>
      <c r="J631" s="13"/>
      <c r="M631" s="14"/>
      <c r="S631" s="23"/>
    </row>
    <row r="632">
      <c r="A632" s="13"/>
      <c r="J632" s="13"/>
      <c r="M632" s="14"/>
      <c r="S632" s="23"/>
    </row>
    <row r="633">
      <c r="A633" s="13"/>
      <c r="J633" s="13"/>
      <c r="M633" s="14"/>
      <c r="S633" s="23"/>
    </row>
    <row r="634">
      <c r="A634" s="13"/>
      <c r="J634" s="13"/>
      <c r="M634" s="14"/>
      <c r="S634" s="23"/>
    </row>
    <row r="635">
      <c r="A635" s="13"/>
      <c r="J635" s="13"/>
      <c r="M635" s="14"/>
      <c r="S635" s="23"/>
    </row>
    <row r="636">
      <c r="A636" s="13"/>
      <c r="J636" s="13"/>
      <c r="M636" s="14"/>
      <c r="S636" s="23"/>
    </row>
    <row r="637">
      <c r="A637" s="13"/>
      <c r="J637" s="13"/>
      <c r="M637" s="14"/>
      <c r="S637" s="23"/>
    </row>
    <row r="638">
      <c r="A638" s="13"/>
      <c r="J638" s="13"/>
      <c r="M638" s="14"/>
      <c r="S638" s="23"/>
    </row>
    <row r="639">
      <c r="A639" s="13"/>
      <c r="J639" s="13"/>
      <c r="M639" s="14"/>
      <c r="S639" s="23"/>
    </row>
    <row r="640">
      <c r="A640" s="13"/>
      <c r="J640" s="13"/>
      <c r="M640" s="14"/>
      <c r="S640" s="23"/>
    </row>
    <row r="641">
      <c r="A641" s="13"/>
      <c r="J641" s="13"/>
      <c r="M641" s="14"/>
      <c r="S641" s="23"/>
    </row>
    <row r="642">
      <c r="A642" s="13"/>
      <c r="J642" s="13"/>
      <c r="M642" s="14"/>
      <c r="S642" s="23"/>
    </row>
    <row r="643">
      <c r="A643" s="13"/>
      <c r="J643" s="13"/>
      <c r="M643" s="14"/>
      <c r="S643" s="23"/>
    </row>
    <row r="644">
      <c r="A644" s="13"/>
      <c r="J644" s="13"/>
      <c r="M644" s="14"/>
      <c r="S644" s="23"/>
    </row>
    <row r="645">
      <c r="A645" s="13"/>
      <c r="J645" s="13"/>
      <c r="M645" s="14"/>
      <c r="S645" s="23"/>
    </row>
    <row r="646">
      <c r="A646" s="13"/>
      <c r="J646" s="13"/>
      <c r="M646" s="14"/>
      <c r="S646" s="23"/>
    </row>
    <row r="647">
      <c r="A647" s="13"/>
      <c r="J647" s="13"/>
      <c r="M647" s="14"/>
      <c r="S647" s="23"/>
    </row>
    <row r="648">
      <c r="A648" s="13"/>
      <c r="J648" s="13"/>
      <c r="M648" s="14"/>
      <c r="S648" s="23"/>
    </row>
    <row r="649">
      <c r="A649" s="13"/>
      <c r="J649" s="13"/>
      <c r="M649" s="14"/>
      <c r="S649" s="23"/>
    </row>
    <row r="650">
      <c r="A650" s="13"/>
      <c r="J650" s="13"/>
      <c r="M650" s="14"/>
      <c r="S650" s="23"/>
    </row>
    <row r="651">
      <c r="A651" s="13"/>
      <c r="J651" s="13"/>
      <c r="M651" s="14"/>
      <c r="S651" s="23"/>
    </row>
    <row r="652">
      <c r="A652" s="13"/>
      <c r="J652" s="13"/>
      <c r="M652" s="14"/>
      <c r="S652" s="23"/>
    </row>
    <row r="653">
      <c r="A653" s="13"/>
      <c r="J653" s="13"/>
      <c r="M653" s="14"/>
      <c r="S653" s="23"/>
    </row>
    <row r="654">
      <c r="A654" s="13"/>
      <c r="J654" s="13"/>
      <c r="M654" s="14"/>
      <c r="S654" s="23"/>
    </row>
    <row r="655">
      <c r="A655" s="13"/>
      <c r="J655" s="13"/>
      <c r="M655" s="14"/>
      <c r="S655" s="23"/>
    </row>
    <row r="656">
      <c r="A656" s="13"/>
      <c r="J656" s="13"/>
      <c r="M656" s="14"/>
      <c r="S656" s="23"/>
    </row>
    <row r="657">
      <c r="A657" s="13"/>
      <c r="J657" s="13"/>
      <c r="M657" s="14"/>
      <c r="S657" s="23"/>
    </row>
    <row r="658">
      <c r="A658" s="13"/>
      <c r="J658" s="13"/>
      <c r="M658" s="14"/>
      <c r="S658" s="23"/>
    </row>
    <row r="659">
      <c r="A659" s="13"/>
      <c r="J659" s="13"/>
      <c r="M659" s="14"/>
      <c r="S659" s="23"/>
    </row>
    <row r="660">
      <c r="A660" s="13"/>
      <c r="J660" s="13"/>
      <c r="M660" s="14"/>
      <c r="S660" s="23"/>
    </row>
    <row r="661">
      <c r="A661" s="13"/>
      <c r="J661" s="13"/>
      <c r="M661" s="14"/>
      <c r="S661" s="23"/>
    </row>
    <row r="662">
      <c r="A662" s="13"/>
      <c r="J662" s="13"/>
      <c r="M662" s="14"/>
      <c r="S662" s="23"/>
    </row>
    <row r="663">
      <c r="A663" s="13"/>
      <c r="J663" s="13"/>
      <c r="M663" s="14"/>
      <c r="S663" s="23"/>
    </row>
    <row r="664">
      <c r="A664" s="13"/>
      <c r="J664" s="13"/>
      <c r="M664" s="14"/>
      <c r="S664" s="23"/>
    </row>
    <row r="665">
      <c r="A665" s="13"/>
      <c r="J665" s="13"/>
      <c r="M665" s="14"/>
      <c r="S665" s="23"/>
    </row>
    <row r="666">
      <c r="A666" s="13"/>
      <c r="J666" s="13"/>
      <c r="M666" s="14"/>
      <c r="S666" s="23"/>
    </row>
    <row r="667">
      <c r="A667" s="13"/>
      <c r="J667" s="13"/>
      <c r="M667" s="14"/>
      <c r="S667" s="23"/>
    </row>
    <row r="668">
      <c r="A668" s="13"/>
      <c r="J668" s="13"/>
      <c r="M668" s="14"/>
      <c r="S668" s="23"/>
    </row>
    <row r="669">
      <c r="A669" s="13"/>
      <c r="J669" s="13"/>
      <c r="M669" s="14"/>
      <c r="S669" s="23"/>
    </row>
    <row r="670">
      <c r="A670" s="13"/>
      <c r="J670" s="13"/>
      <c r="M670" s="14"/>
      <c r="S670" s="23"/>
    </row>
    <row r="671">
      <c r="A671" s="13"/>
      <c r="J671" s="13"/>
      <c r="M671" s="14"/>
      <c r="S671" s="23"/>
    </row>
    <row r="672">
      <c r="A672" s="13"/>
      <c r="J672" s="13"/>
      <c r="M672" s="14"/>
      <c r="S672" s="23"/>
    </row>
    <row r="673">
      <c r="A673" s="13"/>
      <c r="J673" s="13"/>
      <c r="M673" s="14"/>
      <c r="S673" s="23"/>
    </row>
    <row r="674">
      <c r="A674" s="13"/>
      <c r="J674" s="13"/>
      <c r="M674" s="14"/>
      <c r="S674" s="23"/>
    </row>
    <row r="675">
      <c r="A675" s="13"/>
      <c r="J675" s="13"/>
      <c r="M675" s="14"/>
      <c r="S675" s="23"/>
    </row>
    <row r="676">
      <c r="A676" s="13"/>
      <c r="J676" s="13"/>
      <c r="M676" s="14"/>
      <c r="S676" s="23"/>
    </row>
    <row r="677">
      <c r="A677" s="13"/>
      <c r="J677" s="13"/>
      <c r="M677" s="14"/>
      <c r="S677" s="23"/>
    </row>
    <row r="678">
      <c r="A678" s="13"/>
      <c r="J678" s="13"/>
      <c r="M678" s="14"/>
      <c r="S678" s="23"/>
    </row>
    <row r="679">
      <c r="A679" s="13"/>
      <c r="J679" s="13"/>
      <c r="M679" s="14"/>
      <c r="S679" s="23"/>
    </row>
    <row r="680">
      <c r="A680" s="13"/>
      <c r="J680" s="13"/>
      <c r="M680" s="14"/>
      <c r="S680" s="23"/>
    </row>
    <row r="681">
      <c r="A681" s="13"/>
      <c r="J681" s="13"/>
      <c r="M681" s="14"/>
      <c r="S681" s="23"/>
    </row>
    <row r="682">
      <c r="A682" s="13"/>
      <c r="J682" s="13"/>
      <c r="M682" s="14"/>
      <c r="S682" s="23"/>
    </row>
    <row r="683">
      <c r="A683" s="13"/>
      <c r="J683" s="13"/>
      <c r="M683" s="14"/>
      <c r="S683" s="23"/>
    </row>
    <row r="684">
      <c r="A684" s="13"/>
      <c r="J684" s="13"/>
      <c r="M684" s="14"/>
      <c r="S684" s="23"/>
    </row>
    <row r="685">
      <c r="A685" s="13"/>
      <c r="J685" s="13"/>
      <c r="M685" s="14"/>
      <c r="S685" s="23"/>
    </row>
    <row r="686">
      <c r="A686" s="13"/>
      <c r="J686" s="13"/>
      <c r="M686" s="14"/>
      <c r="S686" s="23"/>
    </row>
    <row r="687">
      <c r="A687" s="13"/>
      <c r="J687" s="13"/>
      <c r="M687" s="14"/>
      <c r="S687" s="23"/>
    </row>
    <row r="688">
      <c r="A688" s="13"/>
      <c r="J688" s="13"/>
      <c r="M688" s="14"/>
      <c r="S688" s="23"/>
    </row>
    <row r="689">
      <c r="A689" s="13"/>
      <c r="J689" s="13"/>
      <c r="M689" s="14"/>
      <c r="S689" s="23"/>
    </row>
    <row r="690">
      <c r="A690" s="13"/>
      <c r="J690" s="13"/>
      <c r="M690" s="14"/>
      <c r="S690" s="23"/>
    </row>
    <row r="691">
      <c r="A691" s="13"/>
      <c r="J691" s="13"/>
      <c r="M691" s="14"/>
      <c r="S691" s="23"/>
    </row>
    <row r="692">
      <c r="A692" s="13"/>
      <c r="J692" s="13"/>
      <c r="M692" s="14"/>
      <c r="S692" s="23"/>
    </row>
    <row r="693">
      <c r="A693" s="13"/>
      <c r="J693" s="13"/>
      <c r="M693" s="14"/>
      <c r="S693" s="23"/>
    </row>
    <row r="694">
      <c r="A694" s="13"/>
      <c r="J694" s="13"/>
      <c r="M694" s="14"/>
      <c r="S694" s="23"/>
    </row>
    <row r="695">
      <c r="A695" s="13"/>
      <c r="J695" s="13"/>
      <c r="M695" s="14"/>
      <c r="S695" s="23"/>
    </row>
    <row r="696">
      <c r="A696" s="13"/>
      <c r="J696" s="13"/>
      <c r="M696" s="14"/>
      <c r="S696" s="23"/>
    </row>
    <row r="697">
      <c r="A697" s="13"/>
      <c r="J697" s="13"/>
      <c r="M697" s="14"/>
      <c r="S697" s="23"/>
    </row>
    <row r="698">
      <c r="A698" s="13"/>
      <c r="J698" s="13"/>
      <c r="M698" s="14"/>
      <c r="S698" s="23"/>
    </row>
    <row r="699">
      <c r="A699" s="13"/>
      <c r="J699" s="13"/>
      <c r="M699" s="14"/>
      <c r="S699" s="23"/>
    </row>
    <row r="700">
      <c r="A700" s="13"/>
      <c r="J700" s="13"/>
      <c r="M700" s="14"/>
      <c r="S700" s="23"/>
    </row>
    <row r="701">
      <c r="A701" s="13"/>
      <c r="J701" s="13"/>
      <c r="M701" s="14"/>
      <c r="S701" s="23"/>
    </row>
    <row r="702">
      <c r="A702" s="13"/>
      <c r="J702" s="13"/>
      <c r="M702" s="14"/>
      <c r="S702" s="23"/>
    </row>
    <row r="703">
      <c r="A703" s="13"/>
      <c r="J703" s="13"/>
      <c r="M703" s="14"/>
      <c r="S703" s="23"/>
    </row>
    <row r="704">
      <c r="A704" s="13"/>
      <c r="J704" s="13"/>
      <c r="M704" s="14"/>
      <c r="S704" s="23"/>
    </row>
    <row r="705">
      <c r="A705" s="13"/>
      <c r="J705" s="13"/>
      <c r="M705" s="14"/>
      <c r="S705" s="23"/>
    </row>
    <row r="706">
      <c r="A706" s="13"/>
      <c r="J706" s="13"/>
      <c r="M706" s="14"/>
      <c r="S706" s="23"/>
    </row>
    <row r="707">
      <c r="A707" s="13"/>
      <c r="J707" s="13"/>
      <c r="M707" s="14"/>
      <c r="S707" s="23"/>
    </row>
    <row r="708">
      <c r="A708" s="13"/>
      <c r="J708" s="13"/>
      <c r="M708" s="14"/>
      <c r="S708" s="23"/>
    </row>
    <row r="709">
      <c r="A709" s="13"/>
      <c r="J709" s="13"/>
      <c r="M709" s="14"/>
      <c r="S709" s="23"/>
    </row>
    <row r="710">
      <c r="A710" s="13"/>
      <c r="J710" s="13"/>
      <c r="M710" s="14"/>
      <c r="S710" s="23"/>
    </row>
    <row r="711">
      <c r="A711" s="13"/>
      <c r="J711" s="13"/>
      <c r="M711" s="14"/>
      <c r="S711" s="23"/>
    </row>
    <row r="712">
      <c r="A712" s="13"/>
      <c r="J712" s="13"/>
      <c r="M712" s="14"/>
      <c r="S712" s="23"/>
    </row>
    <row r="713">
      <c r="A713" s="13"/>
      <c r="J713" s="13"/>
      <c r="M713" s="14"/>
      <c r="S713" s="23"/>
    </row>
    <row r="714">
      <c r="A714" s="13"/>
      <c r="J714" s="13"/>
      <c r="M714" s="14"/>
      <c r="S714" s="23"/>
    </row>
    <row r="715">
      <c r="A715" s="13"/>
      <c r="J715" s="13"/>
      <c r="M715" s="14"/>
      <c r="S715" s="23"/>
    </row>
    <row r="716">
      <c r="A716" s="13"/>
      <c r="J716" s="13"/>
      <c r="M716" s="14"/>
      <c r="S716" s="23"/>
    </row>
    <row r="717">
      <c r="A717" s="13"/>
      <c r="J717" s="13"/>
      <c r="M717" s="14"/>
      <c r="S717" s="23"/>
    </row>
    <row r="718">
      <c r="A718" s="13"/>
      <c r="J718" s="13"/>
      <c r="M718" s="14"/>
      <c r="S718" s="23"/>
    </row>
    <row r="719">
      <c r="A719" s="13"/>
      <c r="J719" s="13"/>
      <c r="M719" s="14"/>
      <c r="S719" s="23"/>
    </row>
    <row r="720">
      <c r="A720" s="13"/>
      <c r="J720" s="13"/>
      <c r="M720" s="14"/>
      <c r="S720" s="23"/>
    </row>
    <row r="721">
      <c r="A721" s="13"/>
      <c r="J721" s="13"/>
      <c r="M721" s="14"/>
      <c r="S721" s="23"/>
    </row>
    <row r="722">
      <c r="A722" s="13"/>
      <c r="J722" s="13"/>
      <c r="M722" s="14"/>
      <c r="S722" s="23"/>
    </row>
    <row r="723">
      <c r="A723" s="13"/>
      <c r="J723" s="13"/>
      <c r="M723" s="14"/>
      <c r="S723" s="23"/>
    </row>
    <row r="724">
      <c r="A724" s="13"/>
      <c r="J724" s="13"/>
      <c r="M724" s="14"/>
      <c r="S724" s="23"/>
    </row>
    <row r="725">
      <c r="A725" s="13"/>
      <c r="J725" s="13"/>
      <c r="M725" s="14"/>
      <c r="S725" s="23"/>
    </row>
    <row r="726">
      <c r="A726" s="13"/>
      <c r="J726" s="13"/>
      <c r="M726" s="14"/>
      <c r="S726" s="23"/>
    </row>
    <row r="727">
      <c r="A727" s="13"/>
      <c r="J727" s="13"/>
      <c r="M727" s="14"/>
      <c r="S727" s="23"/>
    </row>
    <row r="728">
      <c r="A728" s="13"/>
      <c r="J728" s="13"/>
      <c r="M728" s="14"/>
      <c r="S728" s="23"/>
    </row>
    <row r="729">
      <c r="A729" s="13"/>
      <c r="J729" s="13"/>
      <c r="M729" s="14"/>
      <c r="S729" s="23"/>
    </row>
    <row r="730">
      <c r="A730" s="13"/>
      <c r="J730" s="13"/>
      <c r="M730" s="14"/>
      <c r="S730" s="23"/>
    </row>
    <row r="731">
      <c r="A731" s="13"/>
      <c r="J731" s="13"/>
      <c r="M731" s="14"/>
      <c r="S731" s="23"/>
    </row>
    <row r="732">
      <c r="A732" s="13"/>
      <c r="J732" s="13"/>
      <c r="M732" s="14"/>
      <c r="S732" s="23"/>
    </row>
    <row r="733">
      <c r="A733" s="13"/>
      <c r="J733" s="13"/>
      <c r="M733" s="14"/>
      <c r="S733" s="23"/>
    </row>
    <row r="734">
      <c r="A734" s="13"/>
      <c r="J734" s="13"/>
      <c r="M734" s="14"/>
      <c r="S734" s="23"/>
    </row>
    <row r="735">
      <c r="A735" s="13"/>
      <c r="J735" s="13"/>
      <c r="M735" s="14"/>
      <c r="S735" s="23"/>
    </row>
    <row r="736">
      <c r="A736" s="13"/>
      <c r="J736" s="13"/>
      <c r="M736" s="14"/>
      <c r="S736" s="23"/>
    </row>
    <row r="737">
      <c r="A737" s="13"/>
      <c r="J737" s="13"/>
      <c r="M737" s="14"/>
      <c r="S737" s="23"/>
    </row>
    <row r="738">
      <c r="A738" s="13"/>
      <c r="J738" s="13"/>
      <c r="M738" s="14"/>
      <c r="S738" s="23"/>
    </row>
    <row r="739">
      <c r="A739" s="13"/>
      <c r="J739" s="13"/>
      <c r="M739" s="14"/>
      <c r="S739" s="23"/>
    </row>
    <row r="740">
      <c r="A740" s="13"/>
      <c r="J740" s="13"/>
      <c r="M740" s="14"/>
      <c r="S740" s="23"/>
    </row>
    <row r="741">
      <c r="A741" s="13"/>
      <c r="J741" s="13"/>
      <c r="M741" s="14"/>
      <c r="S741" s="23"/>
    </row>
    <row r="742">
      <c r="A742" s="13"/>
      <c r="J742" s="13"/>
      <c r="M742" s="14"/>
      <c r="S742" s="23"/>
    </row>
    <row r="743">
      <c r="A743" s="13"/>
      <c r="J743" s="13"/>
      <c r="M743" s="14"/>
      <c r="S743" s="23"/>
    </row>
    <row r="744">
      <c r="A744" s="13"/>
      <c r="J744" s="13"/>
      <c r="M744" s="14"/>
      <c r="S744" s="23"/>
    </row>
    <row r="745">
      <c r="A745" s="13"/>
      <c r="J745" s="13"/>
      <c r="M745" s="14"/>
      <c r="S745" s="23"/>
    </row>
    <row r="746">
      <c r="A746" s="13"/>
      <c r="J746" s="13"/>
      <c r="M746" s="14"/>
      <c r="S746" s="23"/>
    </row>
    <row r="747">
      <c r="A747" s="13"/>
      <c r="J747" s="13"/>
      <c r="M747" s="14"/>
      <c r="S747" s="23"/>
    </row>
    <row r="748">
      <c r="A748" s="13"/>
      <c r="J748" s="13"/>
      <c r="M748" s="14"/>
      <c r="S748" s="23"/>
    </row>
    <row r="749">
      <c r="A749" s="13"/>
      <c r="J749" s="13"/>
      <c r="M749" s="14"/>
      <c r="S749" s="23"/>
    </row>
    <row r="750">
      <c r="A750" s="13"/>
      <c r="J750" s="13"/>
      <c r="M750" s="14"/>
      <c r="S750" s="23"/>
    </row>
    <row r="751">
      <c r="A751" s="13"/>
      <c r="J751" s="13"/>
      <c r="M751" s="14"/>
      <c r="S751" s="23"/>
    </row>
    <row r="752">
      <c r="A752" s="13"/>
      <c r="J752" s="13"/>
      <c r="M752" s="14"/>
      <c r="S752" s="23"/>
    </row>
    <row r="753">
      <c r="A753" s="13"/>
      <c r="J753" s="13"/>
      <c r="M753" s="14"/>
      <c r="S753" s="23"/>
    </row>
    <row r="754">
      <c r="A754" s="13"/>
      <c r="J754" s="13"/>
      <c r="M754" s="14"/>
      <c r="S754" s="23"/>
    </row>
    <row r="755">
      <c r="A755" s="13"/>
      <c r="J755" s="13"/>
      <c r="M755" s="14"/>
      <c r="S755" s="23"/>
    </row>
    <row r="756">
      <c r="A756" s="13"/>
      <c r="J756" s="13"/>
      <c r="M756" s="14"/>
      <c r="S756" s="23"/>
    </row>
    <row r="757">
      <c r="A757" s="13"/>
      <c r="J757" s="13"/>
      <c r="M757" s="14"/>
      <c r="S757" s="23"/>
    </row>
    <row r="758">
      <c r="A758" s="13"/>
      <c r="J758" s="13"/>
      <c r="M758" s="14"/>
      <c r="S758" s="23"/>
    </row>
    <row r="759">
      <c r="A759" s="13"/>
      <c r="J759" s="13"/>
      <c r="M759" s="14"/>
      <c r="S759" s="23"/>
    </row>
    <row r="760">
      <c r="A760" s="13"/>
      <c r="J760" s="13"/>
      <c r="M760" s="14"/>
      <c r="S760" s="23"/>
    </row>
    <row r="761">
      <c r="A761" s="13"/>
      <c r="J761" s="13"/>
      <c r="M761" s="14"/>
      <c r="S761" s="23"/>
    </row>
    <row r="762">
      <c r="A762" s="13"/>
      <c r="J762" s="13"/>
      <c r="M762" s="14"/>
      <c r="S762" s="23"/>
    </row>
    <row r="763">
      <c r="A763" s="13"/>
      <c r="J763" s="13"/>
      <c r="M763" s="14"/>
      <c r="S763" s="23"/>
    </row>
    <row r="764">
      <c r="A764" s="13"/>
      <c r="J764" s="13"/>
      <c r="M764" s="14"/>
      <c r="S764" s="23"/>
    </row>
    <row r="765">
      <c r="A765" s="13"/>
      <c r="J765" s="13"/>
      <c r="M765" s="14"/>
      <c r="S765" s="23"/>
    </row>
    <row r="766">
      <c r="A766" s="13"/>
      <c r="J766" s="13"/>
      <c r="M766" s="14"/>
      <c r="S766" s="23"/>
    </row>
    <row r="767">
      <c r="A767" s="13"/>
      <c r="J767" s="13"/>
      <c r="M767" s="14"/>
      <c r="S767" s="23"/>
    </row>
    <row r="768">
      <c r="A768" s="13"/>
      <c r="J768" s="13"/>
      <c r="M768" s="14"/>
      <c r="S768" s="23"/>
    </row>
    <row r="769">
      <c r="A769" s="13"/>
      <c r="J769" s="13"/>
      <c r="M769" s="14"/>
      <c r="S769" s="23"/>
    </row>
    <row r="770">
      <c r="A770" s="13"/>
      <c r="J770" s="13"/>
      <c r="M770" s="14"/>
      <c r="S770" s="23"/>
    </row>
    <row r="771">
      <c r="A771" s="13"/>
      <c r="J771" s="13"/>
      <c r="M771" s="14"/>
      <c r="S771" s="23"/>
    </row>
    <row r="772">
      <c r="A772" s="13"/>
      <c r="J772" s="13"/>
      <c r="M772" s="14"/>
      <c r="S772" s="23"/>
    </row>
    <row r="773">
      <c r="A773" s="13"/>
      <c r="J773" s="13"/>
      <c r="M773" s="14"/>
      <c r="S773" s="23"/>
    </row>
    <row r="774">
      <c r="A774" s="13"/>
      <c r="J774" s="13"/>
      <c r="M774" s="14"/>
      <c r="S774" s="23"/>
    </row>
    <row r="775">
      <c r="A775" s="13"/>
      <c r="J775" s="13"/>
      <c r="M775" s="14"/>
      <c r="S775" s="23"/>
    </row>
    <row r="776">
      <c r="A776" s="13"/>
      <c r="J776" s="13"/>
      <c r="M776" s="14"/>
      <c r="S776" s="23"/>
    </row>
    <row r="777">
      <c r="A777" s="13"/>
      <c r="J777" s="13"/>
      <c r="M777" s="14"/>
      <c r="S777" s="23"/>
    </row>
    <row r="778">
      <c r="A778" s="13"/>
      <c r="J778" s="13"/>
      <c r="M778" s="14"/>
      <c r="S778" s="23"/>
    </row>
    <row r="779">
      <c r="A779" s="13"/>
      <c r="J779" s="13"/>
      <c r="M779" s="14"/>
      <c r="S779" s="23"/>
    </row>
    <row r="780">
      <c r="A780" s="13"/>
      <c r="J780" s="13"/>
      <c r="M780" s="14"/>
      <c r="S780" s="23"/>
    </row>
    <row r="781">
      <c r="A781" s="13"/>
      <c r="J781" s="13"/>
      <c r="M781" s="14"/>
      <c r="S781" s="23"/>
    </row>
    <row r="782">
      <c r="A782" s="13"/>
      <c r="J782" s="13"/>
      <c r="M782" s="14"/>
      <c r="S782" s="23"/>
    </row>
    <row r="783">
      <c r="A783" s="13"/>
      <c r="J783" s="13"/>
      <c r="M783" s="14"/>
      <c r="S783" s="23"/>
    </row>
    <row r="784">
      <c r="A784" s="13"/>
      <c r="J784" s="13"/>
      <c r="M784" s="14"/>
      <c r="S784" s="23"/>
    </row>
    <row r="785">
      <c r="A785" s="13"/>
      <c r="J785" s="13"/>
      <c r="M785" s="14"/>
      <c r="S785" s="23"/>
    </row>
    <row r="786">
      <c r="A786" s="13"/>
      <c r="J786" s="13"/>
      <c r="M786" s="14"/>
      <c r="S786" s="23"/>
    </row>
    <row r="787">
      <c r="A787" s="13"/>
      <c r="J787" s="13"/>
      <c r="M787" s="14"/>
      <c r="S787" s="23"/>
    </row>
    <row r="788">
      <c r="A788" s="13"/>
      <c r="J788" s="13"/>
      <c r="M788" s="14"/>
      <c r="S788" s="23"/>
    </row>
    <row r="789">
      <c r="A789" s="13"/>
      <c r="J789" s="13"/>
      <c r="M789" s="14"/>
      <c r="S789" s="23"/>
    </row>
    <row r="790">
      <c r="A790" s="13"/>
      <c r="J790" s="13"/>
      <c r="M790" s="14"/>
      <c r="S790" s="23"/>
    </row>
    <row r="791">
      <c r="A791" s="13"/>
      <c r="J791" s="13"/>
      <c r="M791" s="14"/>
      <c r="S791" s="23"/>
    </row>
    <row r="792">
      <c r="A792" s="13"/>
      <c r="J792" s="13"/>
      <c r="M792" s="14"/>
      <c r="S792" s="23"/>
    </row>
    <row r="793">
      <c r="A793" s="13"/>
      <c r="J793" s="13"/>
      <c r="M793" s="14"/>
      <c r="S793" s="23"/>
    </row>
    <row r="794">
      <c r="A794" s="13"/>
      <c r="J794" s="13"/>
      <c r="M794" s="14"/>
      <c r="S794" s="23"/>
    </row>
    <row r="795">
      <c r="A795" s="13"/>
      <c r="J795" s="13"/>
      <c r="M795" s="14"/>
      <c r="S795" s="23"/>
    </row>
    <row r="796">
      <c r="A796" s="13"/>
      <c r="J796" s="13"/>
      <c r="M796" s="14"/>
      <c r="S796" s="23"/>
    </row>
    <row r="797">
      <c r="A797" s="13"/>
      <c r="J797" s="13"/>
      <c r="M797" s="14"/>
      <c r="S797" s="23"/>
    </row>
    <row r="798">
      <c r="A798" s="13"/>
      <c r="J798" s="13"/>
      <c r="M798" s="14"/>
      <c r="S798" s="23"/>
    </row>
    <row r="799">
      <c r="A799" s="13"/>
      <c r="J799" s="13"/>
      <c r="M799" s="14"/>
      <c r="S799" s="23"/>
    </row>
    <row r="800">
      <c r="A800" s="13"/>
      <c r="J800" s="13"/>
      <c r="M800" s="14"/>
      <c r="S800" s="23"/>
    </row>
    <row r="801">
      <c r="A801" s="13"/>
      <c r="J801" s="13"/>
      <c r="M801" s="14"/>
      <c r="S801" s="23"/>
    </row>
    <row r="802">
      <c r="A802" s="13"/>
      <c r="J802" s="13"/>
      <c r="M802" s="14"/>
      <c r="S802" s="23"/>
    </row>
    <row r="803">
      <c r="A803" s="13"/>
      <c r="J803" s="13"/>
      <c r="M803" s="14"/>
      <c r="S803" s="23"/>
    </row>
    <row r="804">
      <c r="A804" s="13"/>
      <c r="J804" s="13"/>
      <c r="M804" s="14"/>
      <c r="S804" s="23"/>
    </row>
    <row r="805">
      <c r="A805" s="13"/>
      <c r="J805" s="13"/>
      <c r="M805" s="14"/>
      <c r="S805" s="23"/>
    </row>
    <row r="806">
      <c r="A806" s="13"/>
      <c r="J806" s="13"/>
      <c r="M806" s="14"/>
      <c r="S806" s="23"/>
    </row>
    <row r="807">
      <c r="A807" s="13"/>
      <c r="J807" s="13"/>
      <c r="M807" s="14"/>
      <c r="S807" s="23"/>
    </row>
    <row r="808">
      <c r="A808" s="13"/>
      <c r="J808" s="13"/>
      <c r="M808" s="14"/>
      <c r="S808" s="23"/>
    </row>
    <row r="809">
      <c r="A809" s="13"/>
      <c r="J809" s="13"/>
      <c r="M809" s="14"/>
      <c r="S809" s="23"/>
    </row>
    <row r="810">
      <c r="A810" s="13"/>
      <c r="J810" s="13"/>
      <c r="M810" s="14"/>
      <c r="S810" s="23"/>
    </row>
    <row r="811">
      <c r="A811" s="13"/>
      <c r="J811" s="13"/>
      <c r="M811" s="14"/>
      <c r="S811" s="23"/>
    </row>
    <row r="812">
      <c r="A812" s="13"/>
      <c r="J812" s="13"/>
      <c r="M812" s="14"/>
      <c r="S812" s="23"/>
    </row>
    <row r="813">
      <c r="A813" s="13"/>
      <c r="J813" s="13"/>
      <c r="M813" s="14"/>
      <c r="S813" s="23"/>
    </row>
    <row r="814">
      <c r="A814" s="13"/>
      <c r="J814" s="13"/>
      <c r="M814" s="14"/>
      <c r="S814" s="23"/>
    </row>
    <row r="815">
      <c r="A815" s="13"/>
      <c r="J815" s="13"/>
      <c r="M815" s="14"/>
      <c r="S815" s="23"/>
    </row>
    <row r="816">
      <c r="A816" s="13"/>
      <c r="J816" s="13"/>
      <c r="M816" s="14"/>
      <c r="S816" s="23"/>
    </row>
    <row r="817">
      <c r="A817" s="13"/>
      <c r="J817" s="13"/>
      <c r="M817" s="14"/>
      <c r="S817" s="23"/>
    </row>
    <row r="818">
      <c r="A818" s="13"/>
      <c r="J818" s="13"/>
      <c r="M818" s="14"/>
      <c r="S818" s="23"/>
    </row>
    <row r="819">
      <c r="A819" s="13"/>
      <c r="J819" s="13"/>
      <c r="M819" s="14"/>
      <c r="S819" s="23"/>
    </row>
    <row r="820">
      <c r="A820" s="13"/>
      <c r="J820" s="13"/>
      <c r="M820" s="14"/>
      <c r="S820" s="23"/>
    </row>
    <row r="821">
      <c r="A821" s="13"/>
      <c r="J821" s="13"/>
      <c r="M821" s="14"/>
      <c r="S821" s="23"/>
    </row>
    <row r="822">
      <c r="A822" s="13"/>
      <c r="J822" s="13"/>
      <c r="M822" s="14"/>
      <c r="S822" s="23"/>
    </row>
    <row r="823">
      <c r="A823" s="13"/>
      <c r="J823" s="13"/>
      <c r="M823" s="14"/>
      <c r="S823" s="23"/>
    </row>
    <row r="824">
      <c r="A824" s="13"/>
      <c r="J824" s="13"/>
      <c r="M824" s="14"/>
      <c r="S824" s="23"/>
    </row>
    <row r="825">
      <c r="A825" s="13"/>
      <c r="J825" s="13"/>
      <c r="M825" s="14"/>
      <c r="S825" s="23"/>
    </row>
    <row r="826">
      <c r="A826" s="13"/>
      <c r="J826" s="13"/>
      <c r="M826" s="14"/>
      <c r="S826" s="23"/>
    </row>
    <row r="827">
      <c r="A827" s="13"/>
      <c r="J827" s="13"/>
      <c r="M827" s="14"/>
      <c r="S827" s="23"/>
    </row>
    <row r="828">
      <c r="A828" s="13"/>
      <c r="J828" s="13"/>
      <c r="M828" s="14"/>
      <c r="S828" s="23"/>
    </row>
    <row r="829">
      <c r="A829" s="13"/>
      <c r="J829" s="13"/>
      <c r="M829" s="14"/>
      <c r="S829" s="23"/>
    </row>
    <row r="830">
      <c r="A830" s="13"/>
      <c r="J830" s="13"/>
      <c r="M830" s="14"/>
      <c r="S830" s="23"/>
    </row>
    <row r="831">
      <c r="A831" s="13"/>
      <c r="J831" s="13"/>
      <c r="M831" s="14"/>
      <c r="S831" s="23"/>
    </row>
    <row r="832">
      <c r="A832" s="13"/>
      <c r="J832" s="13"/>
      <c r="M832" s="14"/>
      <c r="S832" s="23"/>
    </row>
    <row r="833">
      <c r="A833" s="13"/>
      <c r="J833" s="13"/>
      <c r="M833" s="14"/>
      <c r="S833" s="23"/>
    </row>
    <row r="834">
      <c r="A834" s="13"/>
      <c r="J834" s="13"/>
      <c r="M834" s="14"/>
      <c r="S834" s="23"/>
    </row>
    <row r="835">
      <c r="A835" s="13"/>
      <c r="J835" s="13"/>
      <c r="M835" s="14"/>
      <c r="S835" s="23"/>
    </row>
    <row r="836">
      <c r="A836" s="13"/>
      <c r="J836" s="13"/>
      <c r="M836" s="14"/>
      <c r="S836" s="23"/>
    </row>
    <row r="837">
      <c r="A837" s="13"/>
      <c r="J837" s="13"/>
      <c r="M837" s="14"/>
      <c r="S837" s="23"/>
    </row>
    <row r="838">
      <c r="A838" s="13"/>
      <c r="J838" s="13"/>
      <c r="M838" s="14"/>
      <c r="S838" s="23"/>
    </row>
    <row r="839">
      <c r="A839" s="13"/>
      <c r="J839" s="13"/>
      <c r="M839" s="14"/>
      <c r="S839" s="23"/>
    </row>
    <row r="840">
      <c r="A840" s="13"/>
      <c r="J840" s="13"/>
      <c r="M840" s="14"/>
      <c r="S840" s="23"/>
    </row>
    <row r="841">
      <c r="A841" s="13"/>
      <c r="J841" s="13"/>
      <c r="M841" s="14"/>
      <c r="S841" s="23"/>
    </row>
    <row r="842">
      <c r="A842" s="13"/>
      <c r="J842" s="13"/>
      <c r="M842" s="14"/>
      <c r="S842" s="23"/>
    </row>
    <row r="843">
      <c r="A843" s="13"/>
      <c r="J843" s="13"/>
      <c r="M843" s="14"/>
      <c r="S843" s="23"/>
    </row>
    <row r="844">
      <c r="A844" s="13"/>
      <c r="J844" s="13"/>
      <c r="M844" s="14"/>
      <c r="S844" s="23"/>
    </row>
    <row r="845">
      <c r="A845" s="13"/>
      <c r="J845" s="13"/>
      <c r="M845" s="14"/>
      <c r="S845" s="23"/>
    </row>
    <row r="846">
      <c r="A846" s="13"/>
      <c r="J846" s="13"/>
      <c r="M846" s="14"/>
      <c r="S846" s="23"/>
    </row>
    <row r="847">
      <c r="A847" s="13"/>
      <c r="J847" s="13"/>
      <c r="M847" s="14"/>
      <c r="S847" s="23"/>
    </row>
    <row r="848">
      <c r="A848" s="13"/>
      <c r="J848" s="13"/>
      <c r="M848" s="14"/>
      <c r="S848" s="23"/>
    </row>
    <row r="849">
      <c r="A849" s="13"/>
      <c r="J849" s="13"/>
      <c r="M849" s="14"/>
      <c r="S849" s="23"/>
    </row>
    <row r="850">
      <c r="A850" s="13"/>
      <c r="J850" s="13"/>
      <c r="M850" s="14"/>
      <c r="S850" s="23"/>
    </row>
    <row r="851">
      <c r="A851" s="13"/>
      <c r="J851" s="13"/>
      <c r="M851" s="14"/>
      <c r="S851" s="23"/>
    </row>
    <row r="852">
      <c r="A852" s="13"/>
      <c r="J852" s="13"/>
      <c r="M852" s="14"/>
      <c r="S852" s="23"/>
    </row>
    <row r="853">
      <c r="A853" s="13"/>
      <c r="J853" s="13"/>
      <c r="M853" s="14"/>
      <c r="S853" s="23"/>
    </row>
    <row r="854">
      <c r="A854" s="13"/>
      <c r="J854" s="13"/>
      <c r="M854" s="14"/>
      <c r="S854" s="23"/>
    </row>
    <row r="855">
      <c r="A855" s="13"/>
      <c r="J855" s="13"/>
      <c r="M855" s="14"/>
      <c r="S855" s="23"/>
    </row>
    <row r="856">
      <c r="A856" s="13"/>
      <c r="J856" s="13"/>
      <c r="M856" s="14"/>
      <c r="S856" s="23"/>
    </row>
    <row r="857">
      <c r="A857" s="13"/>
      <c r="J857" s="13"/>
      <c r="M857" s="14"/>
      <c r="S857" s="23"/>
    </row>
    <row r="858">
      <c r="A858" s="13"/>
      <c r="J858" s="13"/>
      <c r="M858" s="14"/>
      <c r="S858" s="23"/>
    </row>
    <row r="859">
      <c r="A859" s="13"/>
      <c r="J859" s="13"/>
      <c r="M859" s="14"/>
      <c r="S859" s="23"/>
    </row>
    <row r="860">
      <c r="A860" s="13"/>
      <c r="J860" s="13"/>
      <c r="M860" s="14"/>
      <c r="S860" s="23"/>
    </row>
    <row r="861">
      <c r="A861" s="13"/>
      <c r="J861" s="13"/>
      <c r="M861" s="14"/>
      <c r="S861" s="23"/>
    </row>
    <row r="862">
      <c r="A862" s="13"/>
      <c r="J862" s="13"/>
      <c r="M862" s="14"/>
      <c r="S862" s="23"/>
    </row>
    <row r="863">
      <c r="A863" s="13"/>
      <c r="J863" s="13"/>
      <c r="M863" s="14"/>
      <c r="S863" s="23"/>
    </row>
    <row r="864">
      <c r="A864" s="13"/>
      <c r="J864" s="13"/>
      <c r="M864" s="14"/>
      <c r="S864" s="23"/>
    </row>
    <row r="865">
      <c r="A865" s="13"/>
      <c r="J865" s="13"/>
      <c r="M865" s="14"/>
      <c r="S865" s="23"/>
    </row>
    <row r="866">
      <c r="A866" s="13"/>
      <c r="J866" s="13"/>
      <c r="M866" s="14"/>
      <c r="S866" s="23"/>
    </row>
    <row r="867">
      <c r="A867" s="13"/>
      <c r="J867" s="13"/>
      <c r="M867" s="14"/>
      <c r="S867" s="23"/>
    </row>
    <row r="868">
      <c r="A868" s="13"/>
      <c r="J868" s="13"/>
      <c r="M868" s="14"/>
      <c r="S868" s="23"/>
    </row>
    <row r="869">
      <c r="A869" s="13"/>
      <c r="J869" s="13"/>
      <c r="M869" s="14"/>
      <c r="S869" s="23"/>
    </row>
    <row r="870">
      <c r="A870" s="13"/>
      <c r="J870" s="13"/>
      <c r="M870" s="14"/>
      <c r="S870" s="23"/>
    </row>
    <row r="871">
      <c r="A871" s="13"/>
      <c r="J871" s="13"/>
      <c r="M871" s="14"/>
      <c r="S871" s="23"/>
    </row>
    <row r="872">
      <c r="A872" s="13"/>
      <c r="J872" s="13"/>
      <c r="M872" s="14"/>
      <c r="S872" s="23"/>
    </row>
    <row r="873">
      <c r="A873" s="13"/>
      <c r="J873" s="13"/>
      <c r="M873" s="14"/>
      <c r="S873" s="23"/>
    </row>
    <row r="874">
      <c r="A874" s="13"/>
      <c r="J874" s="13"/>
      <c r="M874" s="14"/>
      <c r="S874" s="23"/>
    </row>
    <row r="875">
      <c r="A875" s="13"/>
      <c r="J875" s="13"/>
      <c r="M875" s="14"/>
      <c r="S875" s="23"/>
    </row>
    <row r="876">
      <c r="A876" s="13"/>
      <c r="J876" s="13"/>
      <c r="M876" s="14"/>
      <c r="S876" s="23"/>
    </row>
    <row r="877">
      <c r="A877" s="13"/>
      <c r="J877" s="13"/>
      <c r="M877" s="14"/>
      <c r="S877" s="23"/>
    </row>
    <row r="878">
      <c r="A878" s="13"/>
      <c r="J878" s="13"/>
      <c r="M878" s="14"/>
      <c r="S878" s="23"/>
    </row>
    <row r="879">
      <c r="A879" s="13"/>
      <c r="J879" s="13"/>
      <c r="M879" s="14"/>
      <c r="S879" s="23"/>
    </row>
    <row r="880">
      <c r="A880" s="13"/>
      <c r="J880" s="13"/>
      <c r="M880" s="14"/>
      <c r="S880" s="23"/>
    </row>
    <row r="881">
      <c r="A881" s="13"/>
      <c r="J881" s="13"/>
      <c r="M881" s="14"/>
      <c r="S881" s="23"/>
    </row>
    <row r="882">
      <c r="A882" s="13"/>
      <c r="J882" s="13"/>
      <c r="M882" s="14"/>
      <c r="S882" s="23"/>
    </row>
    <row r="883">
      <c r="A883" s="13"/>
      <c r="J883" s="13"/>
      <c r="M883" s="14"/>
      <c r="S883" s="23"/>
    </row>
    <row r="884">
      <c r="A884" s="13"/>
      <c r="J884" s="13"/>
      <c r="M884" s="14"/>
      <c r="S884" s="23"/>
    </row>
    <row r="885">
      <c r="A885" s="13"/>
      <c r="J885" s="13"/>
      <c r="M885" s="14"/>
      <c r="S885" s="23"/>
    </row>
    <row r="886">
      <c r="A886" s="13"/>
      <c r="J886" s="13"/>
      <c r="M886" s="14"/>
      <c r="S886" s="23"/>
    </row>
    <row r="887">
      <c r="A887" s="13"/>
      <c r="J887" s="13"/>
      <c r="M887" s="14"/>
      <c r="S887" s="23"/>
    </row>
    <row r="888">
      <c r="A888" s="13"/>
      <c r="J888" s="13"/>
      <c r="M888" s="14"/>
      <c r="S888" s="23"/>
    </row>
    <row r="889">
      <c r="A889" s="13"/>
      <c r="J889" s="13"/>
      <c r="M889" s="14"/>
      <c r="S889" s="23"/>
    </row>
    <row r="890">
      <c r="A890" s="13"/>
      <c r="J890" s="13"/>
      <c r="M890" s="14"/>
      <c r="S890" s="23"/>
    </row>
    <row r="891">
      <c r="A891" s="13"/>
      <c r="J891" s="13"/>
      <c r="M891" s="14"/>
      <c r="S891" s="23"/>
    </row>
    <row r="892">
      <c r="A892" s="13"/>
      <c r="J892" s="13"/>
      <c r="M892" s="14"/>
      <c r="S892" s="23"/>
    </row>
    <row r="893">
      <c r="A893" s="13"/>
      <c r="J893" s="13"/>
      <c r="M893" s="14"/>
      <c r="S893" s="23"/>
    </row>
    <row r="894">
      <c r="A894" s="13"/>
      <c r="J894" s="13"/>
      <c r="M894" s="14"/>
      <c r="S894" s="23"/>
    </row>
    <row r="895">
      <c r="A895" s="13"/>
      <c r="J895" s="13"/>
      <c r="M895" s="14"/>
      <c r="S895" s="23"/>
    </row>
    <row r="896">
      <c r="A896" s="13"/>
      <c r="J896" s="13"/>
      <c r="M896" s="14"/>
      <c r="S896" s="23"/>
    </row>
    <row r="897">
      <c r="A897" s="13"/>
      <c r="J897" s="13"/>
      <c r="M897" s="14"/>
      <c r="S897" s="23"/>
    </row>
    <row r="898">
      <c r="A898" s="13"/>
      <c r="J898" s="13"/>
      <c r="M898" s="14"/>
      <c r="S898" s="23"/>
    </row>
    <row r="899">
      <c r="A899" s="13"/>
      <c r="J899" s="13"/>
      <c r="M899" s="14"/>
      <c r="S899" s="23"/>
    </row>
    <row r="900">
      <c r="A900" s="13"/>
      <c r="J900" s="13"/>
      <c r="M900" s="14"/>
      <c r="S900" s="23"/>
    </row>
    <row r="901">
      <c r="A901" s="13"/>
      <c r="J901" s="13"/>
      <c r="M901" s="14"/>
      <c r="S901" s="23"/>
    </row>
    <row r="902">
      <c r="A902" s="13"/>
      <c r="J902" s="13"/>
      <c r="M902" s="14"/>
      <c r="S902" s="23"/>
    </row>
    <row r="903">
      <c r="A903" s="13"/>
      <c r="J903" s="13"/>
      <c r="M903" s="14"/>
      <c r="S903" s="23"/>
    </row>
    <row r="904">
      <c r="A904" s="13"/>
      <c r="J904" s="13"/>
      <c r="M904" s="14"/>
      <c r="S904" s="23"/>
    </row>
    <row r="905">
      <c r="A905" s="13"/>
      <c r="J905" s="13"/>
      <c r="M905" s="14"/>
      <c r="S905" s="23"/>
    </row>
    <row r="906">
      <c r="A906" s="13"/>
      <c r="J906" s="13"/>
      <c r="M906" s="14"/>
      <c r="S906" s="23"/>
    </row>
    <row r="907">
      <c r="A907" s="13"/>
      <c r="J907" s="13"/>
      <c r="M907" s="14"/>
      <c r="S907" s="23"/>
    </row>
    <row r="908">
      <c r="A908" s="13"/>
      <c r="J908" s="13"/>
      <c r="M908" s="14"/>
      <c r="S908" s="23"/>
    </row>
    <row r="909">
      <c r="A909" s="13"/>
      <c r="J909" s="13"/>
      <c r="M909" s="14"/>
      <c r="S909" s="23"/>
    </row>
    <row r="910">
      <c r="A910" s="13"/>
      <c r="J910" s="13"/>
      <c r="M910" s="14"/>
      <c r="S910" s="23"/>
    </row>
    <row r="911">
      <c r="A911" s="13"/>
      <c r="J911" s="13"/>
      <c r="M911" s="14"/>
      <c r="S911" s="23"/>
    </row>
    <row r="912">
      <c r="A912" s="13"/>
      <c r="J912" s="13"/>
      <c r="M912" s="14"/>
      <c r="S912" s="23"/>
    </row>
    <row r="913">
      <c r="A913" s="13"/>
      <c r="J913" s="13"/>
      <c r="M913" s="14"/>
      <c r="S913" s="23"/>
    </row>
    <row r="914">
      <c r="A914" s="13"/>
      <c r="J914" s="13"/>
      <c r="M914" s="14"/>
      <c r="S914" s="23"/>
    </row>
    <row r="915">
      <c r="A915" s="13"/>
      <c r="J915" s="13"/>
      <c r="M915" s="14"/>
      <c r="S915" s="23"/>
    </row>
    <row r="916">
      <c r="A916" s="13"/>
      <c r="J916" s="13"/>
      <c r="M916" s="14"/>
      <c r="S916" s="23"/>
    </row>
    <row r="917">
      <c r="A917" s="13"/>
      <c r="J917" s="13"/>
      <c r="M917" s="14"/>
      <c r="S917" s="23"/>
    </row>
    <row r="918">
      <c r="A918" s="13"/>
      <c r="J918" s="13"/>
      <c r="M918" s="14"/>
      <c r="S918" s="23"/>
    </row>
    <row r="919">
      <c r="A919" s="13"/>
      <c r="J919" s="13"/>
      <c r="M919" s="14"/>
      <c r="S919" s="23"/>
    </row>
    <row r="920">
      <c r="A920" s="13"/>
      <c r="J920" s="13"/>
      <c r="M920" s="14"/>
      <c r="S920" s="23"/>
    </row>
    <row r="921">
      <c r="A921" s="13"/>
      <c r="J921" s="13"/>
      <c r="M921" s="14"/>
      <c r="S921" s="23"/>
    </row>
    <row r="922">
      <c r="A922" s="13"/>
      <c r="J922" s="13"/>
      <c r="M922" s="14"/>
      <c r="S922" s="23"/>
    </row>
    <row r="923">
      <c r="A923" s="13"/>
      <c r="J923" s="13"/>
      <c r="M923" s="14"/>
      <c r="S923" s="23"/>
    </row>
    <row r="924">
      <c r="A924" s="13"/>
      <c r="J924" s="13"/>
      <c r="M924" s="14"/>
      <c r="S924" s="23"/>
    </row>
    <row r="925">
      <c r="A925" s="13"/>
      <c r="J925" s="13"/>
      <c r="M925" s="14"/>
      <c r="S925" s="23"/>
    </row>
    <row r="926">
      <c r="A926" s="13"/>
      <c r="J926" s="13"/>
      <c r="M926" s="14"/>
      <c r="S926" s="23"/>
    </row>
    <row r="927">
      <c r="A927" s="13"/>
      <c r="J927" s="13"/>
      <c r="M927" s="14"/>
      <c r="S927" s="23"/>
    </row>
    <row r="928">
      <c r="A928" s="13"/>
      <c r="J928" s="13"/>
      <c r="M928" s="14"/>
      <c r="S928" s="23"/>
    </row>
    <row r="929">
      <c r="A929" s="13"/>
      <c r="J929" s="13"/>
      <c r="M929" s="14"/>
      <c r="S929" s="23"/>
    </row>
    <row r="930">
      <c r="A930" s="13"/>
      <c r="J930" s="13"/>
      <c r="M930" s="14"/>
      <c r="S930" s="23"/>
    </row>
    <row r="931">
      <c r="A931" s="13"/>
      <c r="J931" s="13"/>
      <c r="M931" s="14"/>
      <c r="S931" s="23"/>
    </row>
    <row r="932">
      <c r="A932" s="13"/>
      <c r="J932" s="13"/>
      <c r="M932" s="14"/>
      <c r="S932" s="23"/>
    </row>
    <row r="933">
      <c r="A933" s="13"/>
      <c r="J933" s="13"/>
      <c r="M933" s="14"/>
      <c r="S933" s="23"/>
    </row>
    <row r="934">
      <c r="A934" s="13"/>
      <c r="J934" s="13"/>
      <c r="M934" s="14"/>
      <c r="S934" s="23"/>
    </row>
    <row r="935">
      <c r="A935" s="13"/>
      <c r="J935" s="13"/>
      <c r="M935" s="14"/>
      <c r="S935" s="23"/>
    </row>
    <row r="936">
      <c r="A936" s="13"/>
      <c r="J936" s="13"/>
      <c r="M936" s="14"/>
      <c r="S936" s="23"/>
    </row>
    <row r="937">
      <c r="A937" s="13"/>
      <c r="J937" s="13"/>
      <c r="M937" s="14"/>
      <c r="S937" s="23"/>
    </row>
    <row r="938">
      <c r="A938" s="13"/>
      <c r="J938" s="13"/>
      <c r="M938" s="14"/>
      <c r="S938" s="23"/>
    </row>
    <row r="939">
      <c r="A939" s="13"/>
      <c r="J939" s="13"/>
      <c r="M939" s="14"/>
      <c r="S939" s="23"/>
    </row>
    <row r="940">
      <c r="A940" s="13"/>
      <c r="J940" s="13"/>
      <c r="M940" s="14"/>
      <c r="S940" s="23"/>
    </row>
    <row r="941">
      <c r="A941" s="13"/>
      <c r="J941" s="13"/>
      <c r="M941" s="14"/>
      <c r="S941" s="23"/>
    </row>
    <row r="942">
      <c r="A942" s="13"/>
      <c r="J942" s="13"/>
      <c r="M942" s="14"/>
      <c r="S942" s="23"/>
    </row>
    <row r="943">
      <c r="A943" s="13"/>
      <c r="J943" s="13"/>
      <c r="M943" s="14"/>
      <c r="S943" s="23"/>
    </row>
    <row r="944">
      <c r="A944" s="13"/>
      <c r="J944" s="13"/>
      <c r="M944" s="14"/>
      <c r="S944" s="23"/>
    </row>
    <row r="945">
      <c r="A945" s="13"/>
      <c r="J945" s="13"/>
      <c r="M945" s="14"/>
      <c r="S945" s="23"/>
    </row>
    <row r="946">
      <c r="A946" s="13"/>
      <c r="J946" s="13"/>
      <c r="M946" s="14"/>
      <c r="S946" s="23"/>
    </row>
    <row r="947">
      <c r="A947" s="13"/>
      <c r="J947" s="13"/>
      <c r="M947" s="14"/>
      <c r="S947" s="23"/>
    </row>
    <row r="948">
      <c r="A948" s="13"/>
      <c r="J948" s="13"/>
      <c r="M948" s="14"/>
      <c r="S948" s="23"/>
    </row>
    <row r="949">
      <c r="A949" s="13"/>
      <c r="J949" s="13"/>
      <c r="M949" s="14"/>
      <c r="S949" s="23"/>
    </row>
    <row r="950">
      <c r="A950" s="13"/>
      <c r="J950" s="13"/>
      <c r="M950" s="14"/>
      <c r="S950" s="23"/>
    </row>
    <row r="951">
      <c r="A951" s="13"/>
      <c r="J951" s="13"/>
      <c r="M951" s="14"/>
      <c r="S951" s="23"/>
    </row>
    <row r="952">
      <c r="A952" s="13"/>
      <c r="J952" s="13"/>
      <c r="M952" s="14"/>
      <c r="S952" s="23"/>
    </row>
    <row r="953">
      <c r="A953" s="13"/>
      <c r="J953" s="13"/>
      <c r="M953" s="14"/>
      <c r="S953" s="23"/>
    </row>
    <row r="954">
      <c r="A954" s="13"/>
      <c r="J954" s="13"/>
      <c r="M954" s="14"/>
      <c r="S954" s="23"/>
    </row>
    <row r="955">
      <c r="A955" s="13"/>
      <c r="J955" s="13"/>
      <c r="M955" s="14"/>
      <c r="S955" s="23"/>
    </row>
    <row r="956">
      <c r="A956" s="13"/>
      <c r="J956" s="13"/>
      <c r="M956" s="14"/>
      <c r="S956" s="23"/>
    </row>
    <row r="957">
      <c r="A957" s="13"/>
      <c r="J957" s="13"/>
      <c r="M957" s="14"/>
      <c r="S957" s="23"/>
    </row>
    <row r="958">
      <c r="A958" s="13"/>
      <c r="J958" s="13"/>
      <c r="M958" s="14"/>
      <c r="S958" s="23"/>
    </row>
    <row r="959">
      <c r="A959" s="13"/>
      <c r="J959" s="13"/>
      <c r="M959" s="14"/>
      <c r="S959" s="23"/>
    </row>
    <row r="960">
      <c r="A960" s="13"/>
      <c r="J960" s="13"/>
      <c r="M960" s="14"/>
      <c r="S960" s="23"/>
    </row>
    <row r="961">
      <c r="A961" s="13"/>
      <c r="J961" s="13"/>
      <c r="M961" s="14"/>
      <c r="S961" s="23"/>
    </row>
    <row r="962">
      <c r="A962" s="13"/>
      <c r="J962" s="13"/>
      <c r="M962" s="14"/>
      <c r="S962" s="23"/>
    </row>
    <row r="963">
      <c r="A963" s="13"/>
      <c r="J963" s="13"/>
      <c r="M963" s="14"/>
      <c r="S963" s="23"/>
    </row>
    <row r="964">
      <c r="A964" s="13"/>
      <c r="J964" s="13"/>
      <c r="M964" s="14"/>
      <c r="S964" s="23"/>
    </row>
    <row r="965">
      <c r="A965" s="13"/>
      <c r="J965" s="13"/>
      <c r="M965" s="14"/>
      <c r="S965" s="23"/>
    </row>
    <row r="966">
      <c r="A966" s="13"/>
      <c r="J966" s="13"/>
      <c r="M966" s="14"/>
      <c r="S966" s="23"/>
    </row>
    <row r="967">
      <c r="A967" s="13"/>
      <c r="J967" s="13"/>
      <c r="M967" s="14"/>
      <c r="S967" s="23"/>
    </row>
    <row r="968">
      <c r="A968" s="13"/>
      <c r="J968" s="13"/>
      <c r="M968" s="14"/>
      <c r="S968" s="23"/>
    </row>
    <row r="969">
      <c r="A969" s="13"/>
      <c r="J969" s="13"/>
      <c r="M969" s="14"/>
      <c r="S969" s="23"/>
    </row>
    <row r="970">
      <c r="A970" s="13"/>
      <c r="J970" s="13"/>
      <c r="M970" s="14"/>
      <c r="S970" s="23"/>
    </row>
    <row r="971">
      <c r="A971" s="13"/>
      <c r="J971" s="13"/>
      <c r="M971" s="14"/>
      <c r="S971" s="23"/>
    </row>
    <row r="972">
      <c r="A972" s="13"/>
      <c r="J972" s="13"/>
      <c r="M972" s="14"/>
      <c r="S972" s="23"/>
    </row>
    <row r="973">
      <c r="A973" s="13"/>
      <c r="J973" s="13"/>
      <c r="M973" s="14"/>
      <c r="S973" s="23"/>
    </row>
    <row r="974">
      <c r="A974" s="13"/>
      <c r="J974" s="13"/>
      <c r="M974" s="14"/>
      <c r="S974" s="23"/>
    </row>
    <row r="975">
      <c r="A975" s="13"/>
      <c r="J975" s="13"/>
      <c r="M975" s="14"/>
      <c r="S975" s="23"/>
    </row>
    <row r="976">
      <c r="A976" s="13"/>
      <c r="J976" s="13"/>
      <c r="M976" s="14"/>
      <c r="S976" s="23"/>
    </row>
    <row r="977">
      <c r="A977" s="13"/>
      <c r="J977" s="13"/>
      <c r="M977" s="14"/>
      <c r="S977" s="23"/>
    </row>
    <row r="978">
      <c r="A978" s="13"/>
      <c r="J978" s="13"/>
      <c r="M978" s="14"/>
      <c r="S978" s="23"/>
    </row>
    <row r="979">
      <c r="A979" s="13"/>
      <c r="J979" s="13"/>
      <c r="M979" s="14"/>
      <c r="S979" s="23"/>
    </row>
    <row r="980">
      <c r="A980" s="13"/>
      <c r="J980" s="13"/>
      <c r="M980" s="14"/>
      <c r="S980" s="23"/>
    </row>
    <row r="981">
      <c r="A981" s="13"/>
      <c r="J981" s="13"/>
      <c r="M981" s="14"/>
      <c r="S981" s="23"/>
    </row>
    <row r="982">
      <c r="A982" s="13"/>
      <c r="J982" s="13"/>
      <c r="M982" s="14"/>
      <c r="S982" s="23"/>
    </row>
    <row r="983">
      <c r="A983" s="13"/>
      <c r="J983" s="13"/>
      <c r="M983" s="14"/>
      <c r="S983" s="23"/>
    </row>
    <row r="984">
      <c r="A984" s="13"/>
      <c r="J984" s="13"/>
      <c r="M984" s="14"/>
      <c r="S984" s="23"/>
    </row>
    <row r="985">
      <c r="A985" s="13"/>
      <c r="J985" s="13"/>
      <c r="M985" s="14"/>
      <c r="S985" s="23"/>
    </row>
    <row r="986">
      <c r="A986" s="13"/>
      <c r="J986" s="13"/>
      <c r="M986" s="14"/>
      <c r="S986" s="23"/>
    </row>
    <row r="987">
      <c r="A987" s="13"/>
      <c r="J987" s="13"/>
      <c r="M987" s="14"/>
      <c r="S987" s="23"/>
    </row>
    <row r="988">
      <c r="A988" s="13"/>
      <c r="J988" s="13"/>
      <c r="M988" s="14"/>
      <c r="S988" s="23"/>
    </row>
    <row r="989">
      <c r="A989" s="13"/>
      <c r="J989" s="13"/>
      <c r="M989" s="14"/>
      <c r="S989" s="23"/>
    </row>
    <row r="990">
      <c r="A990" s="13"/>
      <c r="J990" s="13"/>
      <c r="M990" s="14"/>
      <c r="S990" s="23"/>
    </row>
    <row r="991">
      <c r="A991" s="13"/>
      <c r="J991" s="13"/>
      <c r="M991" s="14"/>
      <c r="S991" s="23"/>
    </row>
    <row r="992">
      <c r="A992" s="13"/>
      <c r="J992" s="13"/>
      <c r="M992" s="14"/>
      <c r="S992" s="23"/>
    </row>
    <row r="993">
      <c r="A993" s="13"/>
      <c r="J993" s="13"/>
      <c r="M993" s="14"/>
      <c r="S993" s="23"/>
    </row>
    <row r="994">
      <c r="A994" s="13"/>
      <c r="J994" s="13"/>
      <c r="M994" s="14"/>
      <c r="S994" s="23"/>
    </row>
    <row r="995">
      <c r="A995" s="13"/>
      <c r="J995" s="13"/>
      <c r="M995" s="14"/>
      <c r="S995" s="23"/>
    </row>
    <row r="996">
      <c r="A996" s="13"/>
      <c r="J996" s="13"/>
      <c r="M996" s="14"/>
      <c r="S996" s="23"/>
    </row>
    <row r="997">
      <c r="A997" s="13"/>
      <c r="J997" s="13"/>
      <c r="M997" s="14"/>
      <c r="S997" s="23"/>
    </row>
  </sheetData>
  <autoFilter ref="$A$1:$AB$104"/>
  <conditionalFormatting sqref="F1:F85 F87:F104">
    <cfRule type="cellIs" dxfId="0" priority="1" operator="lessThan">
      <formula>3</formula>
    </cfRule>
  </conditionalFormatting>
  <conditionalFormatting sqref="F1:F85 F87:F104">
    <cfRule type="cellIs" dxfId="1" priority="2" operator="lessThan">
      <formula>7</formula>
    </cfRule>
  </conditionalFormatting>
  <dataValidations>
    <dataValidation type="list" allowBlank="1" showErrorMessage="1" sqref="E2:E85 E87:E104">
      <formula1>"Limited,Punopravni,Premium"</formula1>
    </dataValidation>
  </dataValidations>
  <hyperlinks>
    <hyperlink r:id="rId1" ref="D4"/>
    <hyperlink r:id="rId2" ref="D7"/>
    <hyperlink r:id="rId3" ref="D31"/>
    <hyperlink r:id="rId4" ref="D42"/>
    <hyperlink r:id="rId5" ref="D43"/>
    <hyperlink r:id="rId6" ref="D44"/>
    <hyperlink r:id="rId7" ref="D46"/>
    <hyperlink r:id="rId8" ref="D48"/>
    <hyperlink r:id="rId9" ref="D49"/>
    <hyperlink r:id="rId10" ref="D50"/>
    <hyperlink r:id="rId11" ref="D51"/>
    <hyperlink r:id="rId12" ref="D52"/>
    <hyperlink r:id="rId13" ref="D53"/>
    <hyperlink r:id="rId14" ref="D54"/>
    <hyperlink r:id="rId15" ref="D55"/>
    <hyperlink r:id="rId16" ref="D57"/>
    <hyperlink r:id="rId17" ref="D58"/>
    <hyperlink r:id="rId18" ref="D59"/>
    <hyperlink r:id="rId19" ref="D60"/>
    <hyperlink r:id="rId20" ref="D62"/>
    <hyperlink r:id="rId21" ref="D63"/>
    <hyperlink r:id="rId22" ref="D64"/>
    <hyperlink r:id="rId23" ref="D65"/>
    <hyperlink r:id="rId24" ref="D66"/>
    <hyperlink r:id="rId25" ref="D67"/>
    <hyperlink r:id="rId26" ref="D68"/>
    <hyperlink r:id="rId27" ref="D69"/>
    <hyperlink r:id="rId28" ref="D70"/>
    <hyperlink r:id="rId29" ref="D71"/>
    <hyperlink r:id="rId30" ref="D72"/>
    <hyperlink r:id="rId31" ref="D73"/>
    <hyperlink r:id="rId32" ref="D74"/>
    <hyperlink r:id="rId33" ref="D75"/>
    <hyperlink r:id="rId34" ref="D76"/>
    <hyperlink r:id="rId35" ref="D77"/>
    <hyperlink r:id="rId36" ref="D78"/>
    <hyperlink r:id="rId37" ref="D80"/>
    <hyperlink r:id="rId38" ref="D81"/>
    <hyperlink r:id="rId39" ref="D82"/>
    <hyperlink r:id="rId40" ref="D83"/>
    <hyperlink r:id="rId41" ref="D84"/>
    <hyperlink r:id="rId42" ref="D87"/>
    <hyperlink r:id="rId43" ref="D88"/>
    <hyperlink r:id="rId44" ref="D90"/>
    <hyperlink r:id="rId45" ref="D91"/>
    <hyperlink r:id="rId46" ref="D92"/>
    <hyperlink r:id="rId47" ref="D93"/>
    <hyperlink r:id="rId48" ref="D94"/>
    <hyperlink r:id="rId49" ref="D95"/>
    <hyperlink r:id="rId50" ref="D96"/>
    <hyperlink r:id="rId51" ref="D97"/>
    <hyperlink r:id="rId52" ref="D98"/>
    <hyperlink r:id="rId53" ref="D99"/>
    <hyperlink r:id="rId54" ref="D100"/>
    <hyperlink r:id="rId55" ref="D101"/>
    <hyperlink r:id="rId56" ref="D102"/>
    <hyperlink r:id="rId57" ref="D103"/>
    <hyperlink r:id="rId58" ref="D104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5.0"/>
  </cols>
  <sheetData>
    <row r="1" ht="68.25" customHeight="1">
      <c r="A1" s="11" t="s">
        <v>907</v>
      </c>
      <c r="B1" s="7" t="s">
        <v>908</v>
      </c>
      <c r="C1" s="7" t="s">
        <v>909</v>
      </c>
      <c r="D1" s="2" t="s">
        <v>4</v>
      </c>
      <c r="E1" s="2" t="s">
        <v>5</v>
      </c>
      <c r="F1" s="3" t="s">
        <v>6</v>
      </c>
      <c r="G1" s="2" t="s">
        <v>910</v>
      </c>
      <c r="H1" s="4" t="s">
        <v>8</v>
      </c>
      <c r="I1" s="7" t="s">
        <v>15</v>
      </c>
      <c r="J1" s="61" t="s">
        <v>911</v>
      </c>
      <c r="K1" s="7" t="s">
        <v>912</v>
      </c>
      <c r="L1" s="7" t="s">
        <v>913</v>
      </c>
      <c r="M1" s="7" t="s">
        <v>914</v>
      </c>
    </row>
    <row r="2">
      <c r="B2" s="11" t="s">
        <v>915</v>
      </c>
      <c r="C2" s="11" t="s">
        <v>916</v>
      </c>
      <c r="D2" s="11" t="s">
        <v>28</v>
      </c>
      <c r="E2" s="10">
        <f t="shared" ref="E2:E68" si="1">F2-TODAY()</f>
        <v>-869</v>
      </c>
      <c r="F2" s="12">
        <v>45253.0</v>
      </c>
      <c r="G2" s="12">
        <v>44888.0</v>
      </c>
      <c r="H2" s="11" t="s">
        <v>29</v>
      </c>
      <c r="I2" s="11" t="s">
        <v>917</v>
      </c>
      <c r="J2" s="62" t="s">
        <v>918</v>
      </c>
      <c r="K2" s="11">
        <v>2.7313030567E10</v>
      </c>
      <c r="L2" s="16">
        <v>23520.0</v>
      </c>
      <c r="M2" s="16"/>
    </row>
    <row r="3">
      <c r="B3" s="11" t="s">
        <v>919</v>
      </c>
      <c r="C3" s="11" t="s">
        <v>920</v>
      </c>
      <c r="D3" s="11" t="s">
        <v>28</v>
      </c>
      <c r="E3" s="10">
        <f t="shared" si="1"/>
        <v>-451</v>
      </c>
      <c r="F3" s="16">
        <v>45671.0</v>
      </c>
      <c r="G3" s="16">
        <v>43844.0</v>
      </c>
      <c r="H3" s="11" t="s">
        <v>29</v>
      </c>
      <c r="I3" s="11" t="s">
        <v>921</v>
      </c>
      <c r="J3" s="62" t="s">
        <v>922</v>
      </c>
      <c r="K3" s="11">
        <v>1.7253560436E10</v>
      </c>
      <c r="L3" s="11" t="s">
        <v>923</v>
      </c>
      <c r="M3" s="11" t="s">
        <v>924</v>
      </c>
    </row>
    <row r="4">
      <c r="B4" s="11" t="s">
        <v>91</v>
      </c>
      <c r="C4" s="11" t="s">
        <v>925</v>
      </c>
      <c r="D4" s="11" t="s">
        <v>28</v>
      </c>
      <c r="E4" s="10">
        <f t="shared" si="1"/>
        <v>-748</v>
      </c>
      <c r="F4" s="16">
        <v>45374.0</v>
      </c>
      <c r="G4" s="16">
        <v>45008.0</v>
      </c>
      <c r="H4" s="11" t="s">
        <v>29</v>
      </c>
      <c r="I4" s="11" t="s">
        <v>926</v>
      </c>
      <c r="J4" s="62" t="s">
        <v>927</v>
      </c>
      <c r="K4" s="11">
        <v>4.8551979174E10</v>
      </c>
      <c r="L4" s="16">
        <v>35103.0</v>
      </c>
      <c r="M4" s="16"/>
    </row>
    <row r="5">
      <c r="A5" s="13"/>
      <c r="B5" s="26" t="s">
        <v>592</v>
      </c>
      <c r="C5" s="26" t="s">
        <v>928</v>
      </c>
      <c r="D5" s="11" t="s">
        <v>28</v>
      </c>
      <c r="E5" s="10">
        <f t="shared" si="1"/>
        <v>-748</v>
      </c>
      <c r="F5" s="16">
        <v>45374.0</v>
      </c>
      <c r="G5" s="16">
        <v>44278.0</v>
      </c>
      <c r="H5" s="11" t="s">
        <v>29</v>
      </c>
      <c r="I5" s="11" t="s">
        <v>929</v>
      </c>
      <c r="J5" s="63" t="s">
        <v>930</v>
      </c>
      <c r="K5" s="26">
        <v>9.650335886E10</v>
      </c>
      <c r="L5" s="26" t="s">
        <v>931</v>
      </c>
      <c r="M5" s="26" t="s">
        <v>932</v>
      </c>
    </row>
    <row r="6">
      <c r="B6" s="11" t="s">
        <v>933</v>
      </c>
      <c r="C6" s="11" t="s">
        <v>934</v>
      </c>
      <c r="D6" s="11" t="s">
        <v>28</v>
      </c>
      <c r="E6" s="10">
        <f t="shared" si="1"/>
        <v>-323</v>
      </c>
      <c r="F6" s="16">
        <v>45799.0</v>
      </c>
      <c r="G6" s="16">
        <v>45019.0</v>
      </c>
      <c r="H6" s="11" t="s">
        <v>29</v>
      </c>
      <c r="I6" s="11" t="s">
        <v>935</v>
      </c>
      <c r="J6" s="62" t="s">
        <v>936</v>
      </c>
      <c r="K6" s="11">
        <v>4.4371606053E10</v>
      </c>
      <c r="L6" s="16">
        <v>34080.0</v>
      </c>
      <c r="M6" s="16"/>
    </row>
    <row r="7">
      <c r="B7" s="11" t="s">
        <v>937</v>
      </c>
      <c r="C7" s="11" t="s">
        <v>938</v>
      </c>
      <c r="D7" s="11" t="s">
        <v>28</v>
      </c>
      <c r="E7" s="10">
        <f t="shared" si="1"/>
        <v>-719</v>
      </c>
      <c r="F7" s="16">
        <v>45403.0</v>
      </c>
      <c r="G7" s="16">
        <v>45037.0</v>
      </c>
      <c r="H7" s="11" t="s">
        <v>29</v>
      </c>
      <c r="I7" s="11" t="s">
        <v>939</v>
      </c>
      <c r="J7" s="64">
        <f>+385913634512</f>
        <v>385913634512</v>
      </c>
      <c r="K7" s="11">
        <v>1.8589987041E10</v>
      </c>
      <c r="L7" s="16">
        <v>26086.0</v>
      </c>
      <c r="M7" s="16"/>
    </row>
    <row r="8">
      <c r="B8" s="11" t="s">
        <v>940</v>
      </c>
      <c r="C8" s="11" t="s">
        <v>941</v>
      </c>
      <c r="D8" s="11" t="s">
        <v>28</v>
      </c>
      <c r="E8" s="10">
        <f t="shared" si="1"/>
        <v>-716</v>
      </c>
      <c r="F8" s="16">
        <v>45406.0</v>
      </c>
      <c r="G8" s="16">
        <v>45040.0</v>
      </c>
      <c r="H8" s="11" t="s">
        <v>29</v>
      </c>
      <c r="I8" s="11" t="s">
        <v>942</v>
      </c>
      <c r="J8" s="64"/>
      <c r="K8" s="11">
        <v>9.1053003406E10</v>
      </c>
      <c r="L8" s="16">
        <v>28550.0</v>
      </c>
      <c r="M8" s="16"/>
    </row>
    <row r="9">
      <c r="B9" s="11" t="s">
        <v>943</v>
      </c>
      <c r="C9" s="11" t="s">
        <v>944</v>
      </c>
      <c r="D9" s="11" t="s">
        <v>28</v>
      </c>
      <c r="E9" s="10">
        <f t="shared" si="1"/>
        <v>-743</v>
      </c>
      <c r="F9" s="16">
        <v>45379.0</v>
      </c>
      <c r="G9" s="16">
        <v>45014.0</v>
      </c>
      <c r="H9" s="11" t="s">
        <v>29</v>
      </c>
      <c r="I9" s="11" t="s">
        <v>945</v>
      </c>
      <c r="J9" s="62" t="s">
        <v>946</v>
      </c>
      <c r="K9" s="11">
        <v>5.8756985805E10</v>
      </c>
      <c r="L9" s="16">
        <v>32393.0</v>
      </c>
      <c r="M9" s="16"/>
    </row>
    <row r="10">
      <c r="B10" s="11" t="s">
        <v>947</v>
      </c>
      <c r="C10" s="11" t="s">
        <v>948</v>
      </c>
      <c r="D10" s="11" t="s">
        <v>28</v>
      </c>
      <c r="E10" s="10">
        <f t="shared" si="1"/>
        <v>-679</v>
      </c>
      <c r="F10" s="16">
        <v>45443.0</v>
      </c>
      <c r="G10" s="16">
        <v>45077.0</v>
      </c>
      <c r="H10" s="11" t="s">
        <v>29</v>
      </c>
      <c r="I10" s="11" t="s">
        <v>949</v>
      </c>
      <c r="J10" s="62" t="s">
        <v>950</v>
      </c>
      <c r="K10" s="11">
        <v>6.0210051496E10</v>
      </c>
      <c r="L10" s="12">
        <v>35366.0</v>
      </c>
      <c r="M10" s="12"/>
    </row>
    <row r="11">
      <c r="B11" s="11" t="s">
        <v>214</v>
      </c>
      <c r="C11" s="11" t="s">
        <v>951</v>
      </c>
      <c r="D11" s="11" t="s">
        <v>28</v>
      </c>
      <c r="E11" s="10">
        <f t="shared" si="1"/>
        <v>-658</v>
      </c>
      <c r="F11" s="16">
        <v>45464.0</v>
      </c>
      <c r="G11" s="16">
        <v>45098.0</v>
      </c>
      <c r="H11" s="11" t="s">
        <v>29</v>
      </c>
      <c r="I11" s="11" t="s">
        <v>952</v>
      </c>
      <c r="J11" s="62" t="s">
        <v>953</v>
      </c>
      <c r="K11" s="11">
        <v>2.1901325025E10</v>
      </c>
      <c r="L11" s="16">
        <v>33670.0</v>
      </c>
      <c r="M11" s="16"/>
    </row>
    <row r="12">
      <c r="B12" s="11" t="s">
        <v>340</v>
      </c>
      <c r="C12" s="11" t="s">
        <v>954</v>
      </c>
      <c r="D12" s="11" t="s">
        <v>28</v>
      </c>
      <c r="E12" s="10">
        <f t="shared" si="1"/>
        <v>-626</v>
      </c>
      <c r="F12" s="16">
        <v>45496.0</v>
      </c>
      <c r="G12" s="16">
        <v>45130.0</v>
      </c>
      <c r="H12" s="11" t="s">
        <v>29</v>
      </c>
      <c r="I12" s="11" t="s">
        <v>955</v>
      </c>
      <c r="J12" s="62" t="s">
        <v>956</v>
      </c>
      <c r="K12" s="11">
        <v>3.2004620677E10</v>
      </c>
      <c r="L12" s="16">
        <v>35836.0</v>
      </c>
      <c r="M12" s="16"/>
    </row>
    <row r="13">
      <c r="B13" s="11" t="s">
        <v>373</v>
      </c>
      <c r="C13" s="11" t="s">
        <v>957</v>
      </c>
      <c r="D13" s="11" t="s">
        <v>28</v>
      </c>
      <c r="E13" s="10">
        <f t="shared" si="1"/>
        <v>-586</v>
      </c>
      <c r="F13" s="16">
        <v>45536.0</v>
      </c>
      <c r="G13" s="16">
        <v>45170.0</v>
      </c>
      <c r="H13" s="11" t="s">
        <v>29</v>
      </c>
      <c r="I13" s="11" t="s">
        <v>958</v>
      </c>
      <c r="J13" s="64">
        <f>+385977252857</f>
        <v>385977252857</v>
      </c>
      <c r="K13" s="11">
        <v>4.4318024469E10</v>
      </c>
      <c r="L13" s="12">
        <v>36886.0</v>
      </c>
      <c r="M13" s="12"/>
    </row>
    <row r="14">
      <c r="B14" s="11" t="s">
        <v>959</v>
      </c>
      <c r="C14" s="11" t="s">
        <v>960</v>
      </c>
      <c r="D14" s="11" t="s">
        <v>28</v>
      </c>
      <c r="E14" s="10">
        <f t="shared" si="1"/>
        <v>-201</v>
      </c>
      <c r="F14" s="16">
        <v>45921.0</v>
      </c>
      <c r="G14" s="16">
        <v>45190.0</v>
      </c>
      <c r="H14" s="11" t="s">
        <v>29</v>
      </c>
      <c r="I14" s="11" t="s">
        <v>961</v>
      </c>
      <c r="J14" s="62" t="s">
        <v>962</v>
      </c>
      <c r="K14" s="11">
        <v>9.9468654592E10</v>
      </c>
      <c r="L14" s="16">
        <v>33396.0</v>
      </c>
      <c r="M14" s="16"/>
    </row>
    <row r="15">
      <c r="B15" s="11" t="s">
        <v>959</v>
      </c>
      <c r="C15" s="11" t="s">
        <v>963</v>
      </c>
      <c r="D15" s="11" t="s">
        <v>28</v>
      </c>
      <c r="E15" s="10">
        <f t="shared" si="1"/>
        <v>-565</v>
      </c>
      <c r="F15" s="16">
        <v>45557.0</v>
      </c>
      <c r="G15" s="16">
        <v>45191.0</v>
      </c>
      <c r="H15" s="11" t="s">
        <v>29</v>
      </c>
      <c r="I15" s="11" t="s">
        <v>964</v>
      </c>
      <c r="J15" s="62" t="s">
        <v>965</v>
      </c>
      <c r="K15" s="11">
        <v>5.7389737098E10</v>
      </c>
      <c r="L15" s="16">
        <v>29083.0</v>
      </c>
      <c r="M15" s="16"/>
    </row>
    <row r="16">
      <c r="B16" s="11" t="s">
        <v>966</v>
      </c>
      <c r="C16" s="11" t="s">
        <v>967</v>
      </c>
      <c r="D16" s="11" t="s">
        <v>28</v>
      </c>
      <c r="E16" s="10">
        <f t="shared" si="1"/>
        <v>-561</v>
      </c>
      <c r="F16" s="16">
        <v>45561.0</v>
      </c>
      <c r="G16" s="16">
        <v>45195.0</v>
      </c>
      <c r="H16" s="11" t="s">
        <v>29</v>
      </c>
      <c r="I16" s="11" t="s">
        <v>968</v>
      </c>
      <c r="J16" s="64">
        <f>+385921464262</f>
        <v>385921464262</v>
      </c>
      <c r="K16" s="11">
        <v>3.6163735931E10</v>
      </c>
      <c r="L16" s="16">
        <v>34543.0</v>
      </c>
      <c r="M16" s="16"/>
    </row>
    <row r="17">
      <c r="B17" s="11" t="s">
        <v>969</v>
      </c>
      <c r="C17" s="11" t="s">
        <v>967</v>
      </c>
      <c r="D17" s="11" t="s">
        <v>28</v>
      </c>
      <c r="E17" s="10">
        <f t="shared" si="1"/>
        <v>-561</v>
      </c>
      <c r="F17" s="16">
        <v>45561.0</v>
      </c>
      <c r="G17" s="16">
        <v>45195.0</v>
      </c>
      <c r="H17" s="11" t="s">
        <v>29</v>
      </c>
      <c r="I17" s="11" t="s">
        <v>970</v>
      </c>
      <c r="J17" s="64">
        <f>+385951969258</f>
        <v>385951969258</v>
      </c>
      <c r="K17" s="11">
        <v>7.0045938673E10</v>
      </c>
      <c r="L17" s="16">
        <v>24084.0</v>
      </c>
      <c r="M17" s="16"/>
    </row>
    <row r="18">
      <c r="B18" s="11" t="s">
        <v>971</v>
      </c>
      <c r="C18" s="11" t="s">
        <v>972</v>
      </c>
      <c r="D18" s="11" t="s">
        <v>28</v>
      </c>
      <c r="E18" s="10">
        <f t="shared" si="1"/>
        <v>-476</v>
      </c>
      <c r="F18" s="12">
        <v>45646.0</v>
      </c>
      <c r="G18" s="12">
        <v>45280.0</v>
      </c>
      <c r="H18" s="11" t="s">
        <v>29</v>
      </c>
      <c r="I18" s="11" t="s">
        <v>973</v>
      </c>
      <c r="J18" s="62" t="s">
        <v>974</v>
      </c>
      <c r="K18" s="11">
        <v>3.671133819E9</v>
      </c>
      <c r="L18" s="31">
        <v>30753.0</v>
      </c>
    </row>
    <row r="19">
      <c r="B19" s="11" t="s">
        <v>683</v>
      </c>
      <c r="C19" s="11" t="s">
        <v>975</v>
      </c>
      <c r="D19" s="11" t="s">
        <v>28</v>
      </c>
      <c r="E19" s="10">
        <f t="shared" si="1"/>
        <v>-475</v>
      </c>
      <c r="F19" s="12">
        <v>45647.0</v>
      </c>
      <c r="G19" s="12">
        <v>45281.0</v>
      </c>
      <c r="H19" s="11" t="s">
        <v>29</v>
      </c>
      <c r="I19" s="11" t="s">
        <v>976</v>
      </c>
      <c r="J19" s="62" t="s">
        <v>977</v>
      </c>
      <c r="K19" s="11">
        <v>5.3219073214E10</v>
      </c>
      <c r="L19" s="31">
        <v>33587.0</v>
      </c>
      <c r="M19" s="11" t="s">
        <v>978</v>
      </c>
    </row>
    <row r="20">
      <c r="B20" s="11" t="s">
        <v>979</v>
      </c>
      <c r="C20" s="11" t="s">
        <v>980</v>
      </c>
      <c r="D20" s="11" t="s">
        <v>28</v>
      </c>
      <c r="E20" s="10">
        <f t="shared" si="1"/>
        <v>-475</v>
      </c>
      <c r="F20" s="12">
        <v>45647.0</v>
      </c>
      <c r="G20" s="12">
        <v>45281.0</v>
      </c>
      <c r="H20" s="11" t="s">
        <v>29</v>
      </c>
      <c r="I20" s="11" t="s">
        <v>981</v>
      </c>
      <c r="J20" s="64">
        <f>+38765914022</f>
        <v>38765914022</v>
      </c>
      <c r="K20" s="11">
        <v>2.205984101471E12</v>
      </c>
      <c r="L20" s="31">
        <v>30824.0</v>
      </c>
    </row>
    <row r="21">
      <c r="B21" s="11" t="s">
        <v>174</v>
      </c>
      <c r="C21" s="11" t="s">
        <v>982</v>
      </c>
      <c r="D21" s="11" t="s">
        <v>28</v>
      </c>
      <c r="E21" s="10">
        <f t="shared" si="1"/>
        <v>-468</v>
      </c>
      <c r="F21" s="12">
        <v>45654.0</v>
      </c>
      <c r="G21" s="12">
        <v>45288.0</v>
      </c>
      <c r="H21" s="11" t="s">
        <v>29</v>
      </c>
      <c r="I21" s="11" t="s">
        <v>983</v>
      </c>
      <c r="J21" s="64"/>
      <c r="K21" s="11">
        <v>1.4066948345E10</v>
      </c>
      <c r="L21" s="31">
        <v>31738.0</v>
      </c>
      <c r="M21" s="11" t="s">
        <v>984</v>
      </c>
    </row>
    <row r="22">
      <c r="B22" s="11" t="s">
        <v>376</v>
      </c>
      <c r="C22" s="11" t="s">
        <v>985</v>
      </c>
      <c r="D22" s="11" t="s">
        <v>28</v>
      </c>
      <c r="E22" s="10">
        <f t="shared" si="1"/>
        <v>-488</v>
      </c>
      <c r="F22" s="12">
        <v>45634.0</v>
      </c>
      <c r="G22" s="12">
        <v>45268.0</v>
      </c>
      <c r="H22" s="11" t="s">
        <v>29</v>
      </c>
      <c r="I22" s="11" t="s">
        <v>986</v>
      </c>
      <c r="J22" s="64"/>
      <c r="K22" s="11">
        <v>4.5605126672E10</v>
      </c>
      <c r="L22" s="31">
        <v>33225.0</v>
      </c>
      <c r="M22" s="11" t="s">
        <v>987</v>
      </c>
    </row>
    <row r="23">
      <c r="B23" s="11" t="s">
        <v>988</v>
      </c>
      <c r="C23" s="11" t="s">
        <v>989</v>
      </c>
      <c r="D23" s="11" t="s">
        <v>28</v>
      </c>
      <c r="E23" s="10">
        <f t="shared" si="1"/>
        <v>-440</v>
      </c>
      <c r="F23" s="16">
        <v>45682.0</v>
      </c>
      <c r="G23" s="16">
        <v>44951.0</v>
      </c>
      <c r="H23" s="11" t="s">
        <v>29</v>
      </c>
      <c r="I23" s="11" t="s">
        <v>990</v>
      </c>
      <c r="J23" s="64"/>
      <c r="K23" s="11">
        <v>6.9606600127E10</v>
      </c>
      <c r="L23" s="16">
        <v>30125.0</v>
      </c>
      <c r="M23" s="10" t="s">
        <v>991</v>
      </c>
    </row>
    <row r="24">
      <c r="B24" s="11" t="s">
        <v>959</v>
      </c>
      <c r="C24" s="11" t="s">
        <v>960</v>
      </c>
      <c r="D24" s="11" t="s">
        <v>28</v>
      </c>
      <c r="E24" s="10">
        <f t="shared" si="1"/>
        <v>-566</v>
      </c>
      <c r="F24" s="16">
        <v>45556.0</v>
      </c>
      <c r="G24" s="16">
        <v>45190.0</v>
      </c>
      <c r="H24" s="11" t="s">
        <v>29</v>
      </c>
      <c r="I24" s="11" t="s">
        <v>961</v>
      </c>
      <c r="J24" s="62" t="s">
        <v>962</v>
      </c>
      <c r="K24" s="11">
        <v>9.9468654592E10</v>
      </c>
      <c r="L24" s="16">
        <v>33396.0</v>
      </c>
      <c r="M24" s="11" t="s">
        <v>992</v>
      </c>
    </row>
    <row r="25">
      <c r="B25" s="11" t="s">
        <v>993</v>
      </c>
      <c r="C25" s="11" t="s">
        <v>994</v>
      </c>
      <c r="D25" s="11" t="s">
        <v>28</v>
      </c>
      <c r="E25" s="10">
        <f t="shared" si="1"/>
        <v>-460</v>
      </c>
      <c r="F25" s="16">
        <v>45662.0</v>
      </c>
      <c r="G25" s="16">
        <v>45296.0</v>
      </c>
      <c r="H25" s="11" t="s">
        <v>29</v>
      </c>
      <c r="I25" s="11" t="s">
        <v>995</v>
      </c>
      <c r="J25" s="64"/>
      <c r="K25" s="11">
        <v>4.6932599845E10</v>
      </c>
      <c r="L25" s="16">
        <v>33612.0</v>
      </c>
    </row>
    <row r="26">
      <c r="B26" s="11" t="s">
        <v>959</v>
      </c>
      <c r="C26" s="11" t="s">
        <v>996</v>
      </c>
      <c r="D26" s="11" t="s">
        <v>28</v>
      </c>
      <c r="E26" s="10">
        <f t="shared" si="1"/>
        <v>-381</v>
      </c>
      <c r="F26" s="16">
        <v>45741.0</v>
      </c>
      <c r="G26" s="16">
        <v>45376.0</v>
      </c>
      <c r="H26" s="11" t="s">
        <v>29</v>
      </c>
      <c r="I26" s="11" t="s">
        <v>997</v>
      </c>
      <c r="J26" s="62" t="s">
        <v>998</v>
      </c>
      <c r="K26" s="11">
        <v>6.9786823565E10</v>
      </c>
      <c r="L26" s="16">
        <v>32709.0</v>
      </c>
      <c r="M26" s="11" t="s">
        <v>999</v>
      </c>
    </row>
    <row r="27">
      <c r="B27" s="11" t="s">
        <v>1000</v>
      </c>
      <c r="C27" s="11" t="s">
        <v>1001</v>
      </c>
      <c r="D27" s="11" t="s">
        <v>28</v>
      </c>
      <c r="E27" s="10">
        <f t="shared" si="1"/>
        <v>-727</v>
      </c>
      <c r="F27" s="16">
        <v>45395.0</v>
      </c>
      <c r="G27" s="16">
        <v>45029.0</v>
      </c>
      <c r="H27" s="11" t="s">
        <v>29</v>
      </c>
      <c r="I27" s="11" t="s">
        <v>1002</v>
      </c>
      <c r="J27" s="64"/>
      <c r="K27" s="11">
        <v>4.3061935848E10</v>
      </c>
    </row>
    <row r="28">
      <c r="A28" s="11" t="s">
        <v>1003</v>
      </c>
      <c r="B28" s="11" t="s">
        <v>1004</v>
      </c>
      <c r="C28" s="11" t="s">
        <v>1005</v>
      </c>
      <c r="D28" s="11" t="s">
        <v>28</v>
      </c>
      <c r="E28" s="10">
        <f t="shared" si="1"/>
        <v>-359</v>
      </c>
      <c r="F28" s="16">
        <v>45763.0</v>
      </c>
      <c r="G28" s="16">
        <v>45398.0</v>
      </c>
      <c r="H28" s="11" t="s">
        <v>29</v>
      </c>
      <c r="I28" s="11" t="s">
        <v>1006</v>
      </c>
      <c r="J28" s="64"/>
      <c r="K28" s="37">
        <v>1.3861836754E10</v>
      </c>
      <c r="L28" s="65">
        <v>33962.0</v>
      </c>
      <c r="M28" s="66" t="s">
        <v>1007</v>
      </c>
    </row>
    <row r="29">
      <c r="B29" s="11" t="s">
        <v>1008</v>
      </c>
      <c r="C29" s="11" t="s">
        <v>1009</v>
      </c>
      <c r="D29" s="11" t="s">
        <v>28</v>
      </c>
      <c r="E29" s="10">
        <f t="shared" si="1"/>
        <v>-276</v>
      </c>
      <c r="F29" s="16">
        <v>45846.0</v>
      </c>
      <c r="G29" s="16">
        <v>45481.0</v>
      </c>
      <c r="H29" s="11" t="s">
        <v>29</v>
      </c>
      <c r="I29" s="11" t="s">
        <v>1010</v>
      </c>
      <c r="J29" s="64"/>
      <c r="M29" s="67"/>
    </row>
    <row r="30">
      <c r="A30" s="11" t="s">
        <v>1003</v>
      </c>
      <c r="B30" s="11" t="s">
        <v>792</v>
      </c>
      <c r="C30" s="11" t="s">
        <v>1011</v>
      </c>
      <c r="D30" s="11" t="s">
        <v>28</v>
      </c>
      <c r="E30" s="10">
        <f t="shared" si="1"/>
        <v>-223</v>
      </c>
      <c r="F30" s="16">
        <v>45899.0</v>
      </c>
      <c r="G30" s="16">
        <v>45534.0</v>
      </c>
      <c r="H30" s="11" t="s">
        <v>86</v>
      </c>
      <c r="I30" s="11" t="s">
        <v>1012</v>
      </c>
      <c r="J30" s="64"/>
    </row>
    <row r="31">
      <c r="A31" s="11" t="s">
        <v>1003</v>
      </c>
      <c r="B31" s="11" t="s">
        <v>584</v>
      </c>
      <c r="C31" s="11" t="s">
        <v>1013</v>
      </c>
      <c r="D31" s="11" t="s">
        <v>28</v>
      </c>
      <c r="E31" s="10">
        <f t="shared" si="1"/>
        <v>-217</v>
      </c>
      <c r="F31" s="16">
        <v>45905.0</v>
      </c>
      <c r="G31" s="16">
        <v>45540.0</v>
      </c>
      <c r="H31" s="11" t="s">
        <v>86</v>
      </c>
      <c r="I31" s="11" t="s">
        <v>1014</v>
      </c>
      <c r="J31" s="62" t="s">
        <v>1015</v>
      </c>
      <c r="K31" s="11">
        <v>3.7804520222E10</v>
      </c>
      <c r="L31" s="16">
        <v>33279.0</v>
      </c>
      <c r="M31" s="11" t="s">
        <v>1016</v>
      </c>
    </row>
    <row r="32">
      <c r="A32" s="11" t="s">
        <v>1017</v>
      </c>
      <c r="B32" s="11" t="s">
        <v>472</v>
      </c>
      <c r="C32" s="11" t="s">
        <v>1018</v>
      </c>
      <c r="D32" s="11" t="s">
        <v>28</v>
      </c>
      <c r="E32" s="10">
        <f t="shared" si="1"/>
        <v>-183</v>
      </c>
      <c r="F32" s="16">
        <v>45939.0</v>
      </c>
      <c r="G32" s="16">
        <v>45574.0</v>
      </c>
      <c r="H32" s="11" t="s">
        <v>86</v>
      </c>
      <c r="I32" s="11" t="s">
        <v>1019</v>
      </c>
      <c r="J32" s="62" t="s">
        <v>1020</v>
      </c>
      <c r="K32" s="11">
        <v>5.536061479E9</v>
      </c>
      <c r="L32" s="12">
        <v>36486.0</v>
      </c>
      <c r="M32" s="11" t="s">
        <v>1021</v>
      </c>
    </row>
    <row r="33">
      <c r="A33" s="11" t="s">
        <v>1017</v>
      </c>
      <c r="B33" s="11" t="s">
        <v>1022</v>
      </c>
      <c r="C33" s="11" t="s">
        <v>1023</v>
      </c>
      <c r="D33" s="11" t="s">
        <v>28</v>
      </c>
      <c r="E33" s="10">
        <f t="shared" si="1"/>
        <v>-183</v>
      </c>
      <c r="F33" s="16">
        <v>45939.0</v>
      </c>
      <c r="G33" s="16">
        <v>45574.0</v>
      </c>
      <c r="H33" s="11" t="s">
        <v>86</v>
      </c>
      <c r="I33" s="11" t="s">
        <v>1024</v>
      </c>
      <c r="J33" s="62" t="s">
        <v>1025</v>
      </c>
      <c r="K33" s="11">
        <v>5.068785366E9</v>
      </c>
      <c r="L33" s="16">
        <v>38078.0</v>
      </c>
      <c r="M33" s="11" t="s">
        <v>1026</v>
      </c>
    </row>
    <row r="34">
      <c r="A34" s="11" t="s">
        <v>1017</v>
      </c>
      <c r="B34" s="11" t="s">
        <v>251</v>
      </c>
      <c r="C34" s="11" t="s">
        <v>1027</v>
      </c>
      <c r="D34" s="11" t="s">
        <v>28</v>
      </c>
      <c r="E34" s="10">
        <f t="shared" si="1"/>
        <v>182</v>
      </c>
      <c r="F34" s="16">
        <v>46304.0</v>
      </c>
      <c r="G34" s="16">
        <v>45574.0</v>
      </c>
      <c r="H34" s="11" t="s">
        <v>86</v>
      </c>
      <c r="I34" s="11" t="s">
        <v>1028</v>
      </c>
      <c r="J34" s="62" t="s">
        <v>1029</v>
      </c>
      <c r="K34" s="11">
        <v>8.194171132E10</v>
      </c>
      <c r="L34" s="16">
        <v>39023.0</v>
      </c>
      <c r="M34" s="11" t="s">
        <v>1030</v>
      </c>
    </row>
    <row r="35">
      <c r="A35" s="11" t="s">
        <v>1017</v>
      </c>
      <c r="B35" s="11" t="s">
        <v>1031</v>
      </c>
      <c r="C35" s="11" t="s">
        <v>1032</v>
      </c>
      <c r="D35" s="11" t="s">
        <v>28</v>
      </c>
      <c r="E35" s="10">
        <f t="shared" si="1"/>
        <v>-183</v>
      </c>
      <c r="F35" s="16">
        <v>45939.0</v>
      </c>
      <c r="G35" s="16">
        <v>45574.0</v>
      </c>
      <c r="H35" s="11" t="s">
        <v>86</v>
      </c>
      <c r="I35" s="11" t="s">
        <v>1033</v>
      </c>
      <c r="J35" s="62" t="s">
        <v>1034</v>
      </c>
      <c r="K35" s="11">
        <v>7.0217362E8</v>
      </c>
      <c r="L35" s="16">
        <v>37757.0</v>
      </c>
      <c r="M35" s="11" t="s">
        <v>1035</v>
      </c>
    </row>
    <row r="36">
      <c r="A36" s="11" t="s">
        <v>1017</v>
      </c>
      <c r="B36" s="11" t="s">
        <v>1036</v>
      </c>
      <c r="C36" s="11" t="s">
        <v>1037</v>
      </c>
      <c r="D36" s="11" t="s">
        <v>28</v>
      </c>
      <c r="E36" s="10">
        <f t="shared" si="1"/>
        <v>-183</v>
      </c>
      <c r="F36" s="16">
        <v>45939.0</v>
      </c>
      <c r="G36" s="16">
        <v>45574.0</v>
      </c>
      <c r="H36" s="11" t="s">
        <v>86</v>
      </c>
      <c r="I36" s="11" t="s">
        <v>1038</v>
      </c>
      <c r="J36" s="62" t="s">
        <v>1039</v>
      </c>
      <c r="K36" s="11">
        <v>8.1703481905E10</v>
      </c>
      <c r="L36" s="16">
        <v>38239.0</v>
      </c>
      <c r="M36" s="11" t="s">
        <v>1040</v>
      </c>
    </row>
    <row r="37">
      <c r="A37" s="11" t="s">
        <v>1017</v>
      </c>
      <c r="B37" s="11" t="s">
        <v>1041</v>
      </c>
      <c r="C37" s="11" t="s">
        <v>1042</v>
      </c>
      <c r="D37" s="11" t="s">
        <v>28</v>
      </c>
      <c r="E37" s="10">
        <f t="shared" si="1"/>
        <v>-183</v>
      </c>
      <c r="F37" s="16">
        <v>45939.0</v>
      </c>
      <c r="G37" s="16">
        <v>45574.0</v>
      </c>
      <c r="H37" s="11" t="s">
        <v>86</v>
      </c>
      <c r="I37" s="11" t="s">
        <v>1043</v>
      </c>
      <c r="J37" s="62" t="s">
        <v>1044</v>
      </c>
      <c r="K37" s="11">
        <v>2.7273720447E10</v>
      </c>
      <c r="L37" s="16">
        <v>37079.0</v>
      </c>
      <c r="M37" s="11" t="s">
        <v>1045</v>
      </c>
    </row>
    <row r="38">
      <c r="A38" s="11" t="s">
        <v>1017</v>
      </c>
      <c r="B38" s="11" t="s">
        <v>1046</v>
      </c>
      <c r="C38" s="11" t="s">
        <v>1047</v>
      </c>
      <c r="D38" s="11" t="s">
        <v>28</v>
      </c>
      <c r="E38" s="10">
        <f t="shared" si="1"/>
        <v>-183</v>
      </c>
      <c r="F38" s="16">
        <v>45939.0</v>
      </c>
      <c r="G38" s="16">
        <v>45574.0</v>
      </c>
      <c r="H38" s="11" t="s">
        <v>86</v>
      </c>
      <c r="I38" s="11" t="s">
        <v>1048</v>
      </c>
      <c r="J38" s="62" t="s">
        <v>1049</v>
      </c>
      <c r="K38" s="11">
        <v>7.3405320424E10</v>
      </c>
      <c r="L38" s="16">
        <v>38130.0</v>
      </c>
      <c r="M38" s="11" t="s">
        <v>1050</v>
      </c>
    </row>
    <row r="39">
      <c r="A39" s="11" t="s">
        <v>1017</v>
      </c>
      <c r="B39" s="11" t="s">
        <v>1051</v>
      </c>
      <c r="C39" s="11" t="s">
        <v>1052</v>
      </c>
      <c r="D39" s="11" t="s">
        <v>28</v>
      </c>
      <c r="E39" s="10">
        <f t="shared" si="1"/>
        <v>-183</v>
      </c>
      <c r="F39" s="16">
        <v>45939.0</v>
      </c>
      <c r="G39" s="16">
        <v>45574.0</v>
      </c>
      <c r="H39" s="11" t="s">
        <v>86</v>
      </c>
      <c r="I39" s="11" t="s">
        <v>1053</v>
      </c>
      <c r="J39" s="62" t="s">
        <v>1054</v>
      </c>
      <c r="K39" s="11">
        <v>6.0957333478E10</v>
      </c>
      <c r="L39" s="12">
        <v>37553.0</v>
      </c>
      <c r="M39" s="11" t="s">
        <v>1055</v>
      </c>
    </row>
    <row r="40">
      <c r="A40" s="11" t="s">
        <v>1003</v>
      </c>
      <c r="B40" s="11" t="s">
        <v>1056</v>
      </c>
      <c r="C40" s="11" t="s">
        <v>1057</v>
      </c>
      <c r="D40" s="11" t="s">
        <v>28</v>
      </c>
      <c r="E40" s="10">
        <f t="shared" si="1"/>
        <v>-178</v>
      </c>
      <c r="F40" s="16">
        <v>45944.0</v>
      </c>
      <c r="G40" s="16">
        <v>45579.0</v>
      </c>
      <c r="H40" s="11" t="s">
        <v>86</v>
      </c>
      <c r="I40" s="11" t="s">
        <v>1058</v>
      </c>
      <c r="J40" s="62" t="s">
        <v>1059</v>
      </c>
      <c r="K40" s="11">
        <v>5.8704901284E10</v>
      </c>
      <c r="L40" s="12">
        <v>30235.0</v>
      </c>
      <c r="M40" s="11" t="s">
        <v>1060</v>
      </c>
    </row>
    <row r="41">
      <c r="A41" s="11" t="s">
        <v>1017</v>
      </c>
      <c r="B41" s="11" t="s">
        <v>1061</v>
      </c>
      <c r="C41" s="11" t="s">
        <v>1062</v>
      </c>
      <c r="D41" s="11" t="s">
        <v>28</v>
      </c>
      <c r="E41" s="10">
        <f t="shared" si="1"/>
        <v>-178</v>
      </c>
      <c r="F41" s="16">
        <v>45944.0</v>
      </c>
      <c r="G41" s="16">
        <v>45579.0</v>
      </c>
      <c r="H41" s="11" t="s">
        <v>86</v>
      </c>
      <c r="I41" s="11" t="s">
        <v>1063</v>
      </c>
      <c r="J41" s="62" t="s">
        <v>1064</v>
      </c>
      <c r="K41" s="11">
        <v>6.4848019369E10</v>
      </c>
      <c r="L41" s="12">
        <v>37240.0</v>
      </c>
      <c r="M41" s="11" t="s">
        <v>1065</v>
      </c>
    </row>
    <row r="42">
      <c r="A42" s="11" t="s">
        <v>1017</v>
      </c>
      <c r="B42" s="11" t="s">
        <v>1066</v>
      </c>
      <c r="C42" s="11" t="s">
        <v>1067</v>
      </c>
      <c r="D42" s="11" t="s">
        <v>28</v>
      </c>
      <c r="E42" s="10">
        <f t="shared" si="1"/>
        <v>-178</v>
      </c>
      <c r="F42" s="16">
        <v>45944.0</v>
      </c>
      <c r="G42" s="16">
        <v>45581.0</v>
      </c>
      <c r="H42" s="11" t="s">
        <v>86</v>
      </c>
      <c r="I42" s="11" t="s">
        <v>1068</v>
      </c>
      <c r="J42" s="62" t="s">
        <v>1069</v>
      </c>
      <c r="K42" s="11">
        <v>6.107882653E10</v>
      </c>
      <c r="L42" s="16">
        <v>36663.0</v>
      </c>
      <c r="M42" s="11" t="s">
        <v>1070</v>
      </c>
    </row>
    <row r="43">
      <c r="A43" s="11" t="s">
        <v>1017</v>
      </c>
      <c r="B43" s="11" t="s">
        <v>1071</v>
      </c>
      <c r="C43" s="11" t="s">
        <v>1072</v>
      </c>
      <c r="D43" s="11" t="s">
        <v>28</v>
      </c>
      <c r="E43" s="10">
        <f t="shared" si="1"/>
        <v>-178</v>
      </c>
      <c r="F43" s="16">
        <v>45944.0</v>
      </c>
      <c r="G43" s="16">
        <v>45581.0</v>
      </c>
      <c r="H43" s="11" t="s">
        <v>86</v>
      </c>
      <c r="I43" s="11" t="s">
        <v>1073</v>
      </c>
      <c r="J43" s="62" t="s">
        <v>1074</v>
      </c>
      <c r="K43" s="11">
        <v>8.523128125E10</v>
      </c>
      <c r="L43" s="16">
        <v>37958.0</v>
      </c>
      <c r="M43" s="11" t="s">
        <v>1075</v>
      </c>
    </row>
    <row r="44">
      <c r="B44" s="11" t="s">
        <v>1076</v>
      </c>
      <c r="C44" s="11" t="s">
        <v>1077</v>
      </c>
      <c r="D44" s="11" t="s">
        <v>28</v>
      </c>
      <c r="E44" s="10">
        <f t="shared" si="1"/>
        <v>-175</v>
      </c>
      <c r="F44" s="16">
        <v>45947.0</v>
      </c>
      <c r="G44" s="16">
        <v>45582.0</v>
      </c>
      <c r="H44" s="11" t="s">
        <v>86</v>
      </c>
      <c r="I44" s="11" t="s">
        <v>1078</v>
      </c>
      <c r="J44" s="62" t="s">
        <v>1079</v>
      </c>
      <c r="K44" s="11">
        <v>3.1122634587E10</v>
      </c>
      <c r="L44" s="12">
        <v>32856.0</v>
      </c>
      <c r="M44" s="11" t="s">
        <v>1080</v>
      </c>
    </row>
    <row r="45">
      <c r="B45" s="11" t="s">
        <v>919</v>
      </c>
      <c r="C45" s="11" t="s">
        <v>1081</v>
      </c>
      <c r="D45" s="11" t="s">
        <v>28</v>
      </c>
      <c r="E45" s="10">
        <f t="shared" si="1"/>
        <v>-155</v>
      </c>
      <c r="F45" s="16">
        <v>45967.0</v>
      </c>
      <c r="G45" s="16">
        <v>45602.0</v>
      </c>
      <c r="H45" s="11" t="s">
        <v>86</v>
      </c>
      <c r="I45" s="11" t="s">
        <v>1082</v>
      </c>
      <c r="J45" s="62" t="s">
        <v>1083</v>
      </c>
      <c r="M45" s="11" t="s">
        <v>1084</v>
      </c>
    </row>
    <row r="46">
      <c r="B46" s="11" t="s">
        <v>1085</v>
      </c>
      <c r="C46" s="11" t="s">
        <v>1086</v>
      </c>
      <c r="D46" s="11" t="s">
        <v>28</v>
      </c>
      <c r="E46" s="10">
        <f t="shared" si="1"/>
        <v>-154</v>
      </c>
      <c r="F46" s="16">
        <v>45968.0</v>
      </c>
      <c r="G46" s="16">
        <v>45603.0</v>
      </c>
      <c r="H46" s="11" t="s">
        <v>86</v>
      </c>
      <c r="I46" s="11" t="s">
        <v>1087</v>
      </c>
      <c r="J46" s="62" t="s">
        <v>1088</v>
      </c>
      <c r="K46" s="11">
        <v>5.7364397218E10</v>
      </c>
      <c r="L46" s="16">
        <v>29259.0</v>
      </c>
      <c r="M46" s="11" t="s">
        <v>1089</v>
      </c>
    </row>
    <row r="47">
      <c r="B47" s="11" t="s">
        <v>57</v>
      </c>
      <c r="C47" s="11" t="s">
        <v>766</v>
      </c>
      <c r="D47" s="11" t="s">
        <v>28</v>
      </c>
      <c r="E47" s="10">
        <f t="shared" si="1"/>
        <v>-150</v>
      </c>
      <c r="F47" s="16">
        <v>45972.0</v>
      </c>
      <c r="G47" s="16">
        <v>45607.0</v>
      </c>
      <c r="H47" s="11" t="s">
        <v>86</v>
      </c>
      <c r="I47" s="11" t="s">
        <v>767</v>
      </c>
      <c r="J47" s="62" t="s">
        <v>1090</v>
      </c>
      <c r="K47" s="11">
        <v>6.396512478E9</v>
      </c>
      <c r="L47" s="12">
        <v>35398.0</v>
      </c>
      <c r="M47" s="11" t="s">
        <v>1091</v>
      </c>
    </row>
    <row r="48">
      <c r="B48" s="11" t="s">
        <v>1092</v>
      </c>
      <c r="C48" s="11" t="s">
        <v>1093</v>
      </c>
      <c r="D48" s="11" t="s">
        <v>28</v>
      </c>
      <c r="E48" s="10">
        <f t="shared" si="1"/>
        <v>-149</v>
      </c>
      <c r="F48" s="16">
        <v>45973.0</v>
      </c>
      <c r="G48" s="16">
        <v>45608.0</v>
      </c>
      <c r="H48" s="11" t="s">
        <v>86</v>
      </c>
      <c r="I48" s="11" t="s">
        <v>1094</v>
      </c>
      <c r="J48" s="62" t="s">
        <v>1095</v>
      </c>
      <c r="K48" s="11">
        <v>2.1560100677E10</v>
      </c>
      <c r="L48" s="16">
        <v>29827.0</v>
      </c>
      <c r="M48" s="11" t="s">
        <v>1096</v>
      </c>
    </row>
    <row r="49">
      <c r="B49" s="11" t="s">
        <v>1097</v>
      </c>
      <c r="C49" s="11" t="s">
        <v>1005</v>
      </c>
      <c r="D49" s="11" t="s">
        <v>28</v>
      </c>
      <c r="E49" s="10">
        <f t="shared" si="1"/>
        <v>-90</v>
      </c>
      <c r="F49" s="16">
        <v>46032.0</v>
      </c>
      <c r="G49" s="16">
        <v>45667.0</v>
      </c>
      <c r="H49" s="11" t="s">
        <v>86</v>
      </c>
      <c r="I49" s="11" t="s">
        <v>1098</v>
      </c>
      <c r="J49" s="62" t="s">
        <v>1099</v>
      </c>
      <c r="K49" s="11">
        <v>5.9987815683E10</v>
      </c>
      <c r="L49" s="16">
        <v>35035.0</v>
      </c>
      <c r="M49" s="11" t="s">
        <v>1100</v>
      </c>
    </row>
    <row r="50">
      <c r="B50" s="11" t="s">
        <v>1101</v>
      </c>
      <c r="C50" s="11" t="s">
        <v>1102</v>
      </c>
      <c r="D50" s="11" t="s">
        <v>28</v>
      </c>
      <c r="E50" s="10">
        <f t="shared" si="1"/>
        <v>-1</v>
      </c>
      <c r="F50" s="12">
        <v>46121.0</v>
      </c>
      <c r="G50" s="12">
        <v>45756.0</v>
      </c>
      <c r="H50" s="11" t="s">
        <v>86</v>
      </c>
      <c r="I50" s="11" t="s">
        <v>1103</v>
      </c>
      <c r="J50" s="64"/>
      <c r="K50" s="11">
        <v>1.9057876247E10</v>
      </c>
      <c r="L50" s="16">
        <v>29405.0</v>
      </c>
      <c r="M50" s="11" t="s">
        <v>1104</v>
      </c>
    </row>
    <row r="51">
      <c r="B51" s="11" t="s">
        <v>1105</v>
      </c>
      <c r="C51" s="11" t="s">
        <v>1106</v>
      </c>
      <c r="D51" s="11" t="s">
        <v>28</v>
      </c>
      <c r="E51" s="10">
        <f t="shared" si="1"/>
        <v>36</v>
      </c>
      <c r="F51" s="12">
        <v>46158.0</v>
      </c>
      <c r="G51" s="12">
        <v>45793.0</v>
      </c>
      <c r="H51" s="11" t="s">
        <v>86</v>
      </c>
      <c r="I51" s="11" t="s">
        <v>1107</v>
      </c>
      <c r="J51" s="62" t="s">
        <v>1108</v>
      </c>
      <c r="K51" s="11">
        <v>5.1036429026E10</v>
      </c>
      <c r="L51" s="12">
        <v>29505.0</v>
      </c>
      <c r="M51" s="11" t="s">
        <v>1109</v>
      </c>
    </row>
    <row r="52">
      <c r="A52" s="11" t="s">
        <v>1110</v>
      </c>
      <c r="B52" s="11" t="s">
        <v>707</v>
      </c>
      <c r="C52" s="11" t="s">
        <v>1111</v>
      </c>
      <c r="D52" s="11" t="s">
        <v>28</v>
      </c>
      <c r="E52" s="10">
        <f t="shared" si="1"/>
        <v>81</v>
      </c>
      <c r="F52" s="12">
        <v>46203.0</v>
      </c>
      <c r="G52" s="12">
        <v>45838.0</v>
      </c>
      <c r="H52" s="11" t="s">
        <v>86</v>
      </c>
      <c r="I52" s="11" t="s">
        <v>1112</v>
      </c>
      <c r="J52" s="62" t="s">
        <v>1113</v>
      </c>
    </row>
    <row r="53">
      <c r="B53" s="11" t="s">
        <v>147</v>
      </c>
      <c r="C53" s="11" t="s">
        <v>1114</v>
      </c>
      <c r="D53" s="11" t="s">
        <v>28</v>
      </c>
      <c r="E53" s="10">
        <f t="shared" si="1"/>
        <v>189</v>
      </c>
      <c r="F53" s="12">
        <v>46311.0</v>
      </c>
      <c r="G53" s="12">
        <v>45946.0</v>
      </c>
      <c r="H53" s="11" t="s">
        <v>86</v>
      </c>
      <c r="I53" s="11" t="s">
        <v>1115</v>
      </c>
      <c r="J53" s="62" t="s">
        <v>1116</v>
      </c>
      <c r="K53" s="11">
        <v>9.7238986794E10</v>
      </c>
      <c r="L53" s="16">
        <v>29013.0</v>
      </c>
      <c r="M53" s="11" t="s">
        <v>1117</v>
      </c>
    </row>
    <row r="54">
      <c r="A54" s="11" t="s">
        <v>1017</v>
      </c>
      <c r="B54" s="11" t="s">
        <v>1118</v>
      </c>
      <c r="C54" s="11" t="s">
        <v>1119</v>
      </c>
      <c r="D54" s="11" t="s">
        <v>28</v>
      </c>
      <c r="E54" s="10">
        <f t="shared" si="1"/>
        <v>187</v>
      </c>
      <c r="F54" s="12">
        <v>46309.0</v>
      </c>
      <c r="G54" s="12">
        <v>45944.0</v>
      </c>
      <c r="H54" s="11" t="s">
        <v>86</v>
      </c>
      <c r="I54" s="11" t="s">
        <v>1120</v>
      </c>
      <c r="J54" s="62" t="s">
        <v>1121</v>
      </c>
      <c r="K54" s="11">
        <v>2.9224467382E10</v>
      </c>
      <c r="L54" s="16">
        <v>37704.0</v>
      </c>
      <c r="M54" s="11" t="s">
        <v>1122</v>
      </c>
    </row>
    <row r="55">
      <c r="A55" s="11" t="s">
        <v>1017</v>
      </c>
      <c r="B55" s="11" t="s">
        <v>1123</v>
      </c>
      <c r="C55" s="11" t="s">
        <v>1124</v>
      </c>
      <c r="D55" s="11" t="s">
        <v>28</v>
      </c>
      <c r="E55" s="10">
        <f t="shared" si="1"/>
        <v>187</v>
      </c>
      <c r="F55" s="12">
        <v>46309.0</v>
      </c>
      <c r="G55" s="12">
        <v>45944.0</v>
      </c>
      <c r="H55" s="11" t="s">
        <v>86</v>
      </c>
      <c r="I55" s="11" t="s">
        <v>1125</v>
      </c>
      <c r="J55" s="62" t="s">
        <v>1126</v>
      </c>
      <c r="K55" s="11">
        <v>7.240641725E9</v>
      </c>
      <c r="L55" s="12">
        <v>38332.0</v>
      </c>
      <c r="M55" s="11" t="s">
        <v>1127</v>
      </c>
    </row>
    <row r="56">
      <c r="A56" s="11" t="s">
        <v>1017</v>
      </c>
      <c r="B56" s="11" t="s">
        <v>1128</v>
      </c>
      <c r="C56" s="11" t="s">
        <v>1129</v>
      </c>
      <c r="D56" s="11" t="s">
        <v>28</v>
      </c>
      <c r="E56" s="10">
        <f t="shared" si="1"/>
        <v>187</v>
      </c>
      <c r="F56" s="12">
        <v>46309.0</v>
      </c>
      <c r="G56" s="12">
        <v>45944.0</v>
      </c>
      <c r="H56" s="11" t="s">
        <v>86</v>
      </c>
      <c r="I56" s="11" t="s">
        <v>1130</v>
      </c>
      <c r="J56" s="64"/>
      <c r="K56" s="11">
        <v>1.6749943275E10</v>
      </c>
      <c r="L56" s="16">
        <v>35978.0</v>
      </c>
      <c r="M56" s="11" t="s">
        <v>1131</v>
      </c>
    </row>
    <row r="57">
      <c r="A57" s="11" t="s">
        <v>1017</v>
      </c>
      <c r="B57" s="11" t="s">
        <v>1132</v>
      </c>
      <c r="C57" s="11" t="s">
        <v>1133</v>
      </c>
      <c r="D57" s="11" t="s">
        <v>28</v>
      </c>
      <c r="E57" s="10">
        <f t="shared" si="1"/>
        <v>187</v>
      </c>
      <c r="F57" s="12">
        <v>46309.0</v>
      </c>
      <c r="G57" s="12">
        <v>45944.0</v>
      </c>
      <c r="H57" s="11" t="s">
        <v>86</v>
      </c>
      <c r="I57" s="11" t="s">
        <v>1134</v>
      </c>
      <c r="J57" s="62" t="s">
        <v>1135</v>
      </c>
      <c r="K57" s="11">
        <v>2.3926162258E10</v>
      </c>
      <c r="L57" s="16">
        <v>38438.0</v>
      </c>
      <c r="M57" s="11" t="s">
        <v>1136</v>
      </c>
    </row>
    <row r="58">
      <c r="A58" s="11" t="s">
        <v>1017</v>
      </c>
      <c r="B58" s="11" t="s">
        <v>799</v>
      </c>
      <c r="C58" s="11" t="s">
        <v>1137</v>
      </c>
      <c r="D58" s="11" t="s">
        <v>28</v>
      </c>
      <c r="E58" s="10">
        <f t="shared" si="1"/>
        <v>187</v>
      </c>
      <c r="F58" s="12">
        <v>46309.0</v>
      </c>
      <c r="G58" s="12">
        <v>45944.0</v>
      </c>
      <c r="H58" s="11" t="s">
        <v>86</v>
      </c>
      <c r="I58" s="11" t="s">
        <v>1138</v>
      </c>
      <c r="J58" s="62" t="s">
        <v>1139</v>
      </c>
      <c r="K58" s="11">
        <v>6.3328066126E10</v>
      </c>
      <c r="L58" s="12">
        <v>37936.0</v>
      </c>
      <c r="M58" s="11" t="s">
        <v>1140</v>
      </c>
    </row>
    <row r="59">
      <c r="A59" s="11" t="s">
        <v>1017</v>
      </c>
      <c r="B59" s="11" t="s">
        <v>919</v>
      </c>
      <c r="C59" s="11" t="s">
        <v>1141</v>
      </c>
      <c r="D59" s="11" t="s">
        <v>28</v>
      </c>
      <c r="E59" s="10">
        <f t="shared" si="1"/>
        <v>187</v>
      </c>
      <c r="F59" s="12">
        <v>46309.0</v>
      </c>
      <c r="G59" s="12">
        <v>45944.0</v>
      </c>
      <c r="H59" s="11" t="s">
        <v>86</v>
      </c>
      <c r="I59" s="11" t="s">
        <v>1142</v>
      </c>
      <c r="J59" s="62" t="s">
        <v>1143</v>
      </c>
      <c r="K59" s="11">
        <v>6.6381637815E10</v>
      </c>
      <c r="L59" s="16">
        <v>38577.0</v>
      </c>
      <c r="M59" s="11" t="s">
        <v>1144</v>
      </c>
    </row>
    <row r="60">
      <c r="A60" s="11" t="s">
        <v>1017</v>
      </c>
      <c r="B60" s="11" t="s">
        <v>214</v>
      </c>
      <c r="C60" s="11" t="s">
        <v>1145</v>
      </c>
      <c r="D60" s="11" t="s">
        <v>28</v>
      </c>
      <c r="E60" s="10">
        <f t="shared" si="1"/>
        <v>187</v>
      </c>
      <c r="F60" s="12">
        <v>46309.0</v>
      </c>
      <c r="G60" s="12">
        <v>45944.0</v>
      </c>
      <c r="H60" s="11" t="s">
        <v>86</v>
      </c>
      <c r="I60" s="11" t="s">
        <v>1146</v>
      </c>
      <c r="J60" s="62" t="s">
        <v>1147</v>
      </c>
      <c r="K60" s="11">
        <v>3.5402692932E10</v>
      </c>
      <c r="L60" s="16">
        <v>37399.0</v>
      </c>
      <c r="M60" s="11" t="s">
        <v>1148</v>
      </c>
    </row>
    <row r="61">
      <c r="A61" s="11" t="s">
        <v>1017</v>
      </c>
      <c r="B61" s="11" t="s">
        <v>509</v>
      </c>
      <c r="C61" s="11" t="s">
        <v>1149</v>
      </c>
      <c r="D61" s="11" t="s">
        <v>28</v>
      </c>
      <c r="E61" s="10">
        <f t="shared" si="1"/>
        <v>187</v>
      </c>
      <c r="F61" s="12">
        <v>46309.0</v>
      </c>
      <c r="G61" s="12">
        <v>45944.0</v>
      </c>
      <c r="H61" s="11" t="s">
        <v>86</v>
      </c>
      <c r="I61" s="11" t="s">
        <v>1150</v>
      </c>
      <c r="J61" s="62" t="s">
        <v>1151</v>
      </c>
      <c r="K61" s="11">
        <v>8.1050273673E10</v>
      </c>
      <c r="L61" s="16">
        <v>38181.0</v>
      </c>
      <c r="M61" s="11" t="s">
        <v>1152</v>
      </c>
    </row>
    <row r="62">
      <c r="A62" s="11" t="s">
        <v>1017</v>
      </c>
      <c r="B62" s="11" t="s">
        <v>683</v>
      </c>
      <c r="C62" s="11" t="s">
        <v>1153</v>
      </c>
      <c r="D62" s="11" t="s">
        <v>28</v>
      </c>
      <c r="E62" s="10">
        <f t="shared" si="1"/>
        <v>187</v>
      </c>
      <c r="F62" s="12">
        <v>46309.0</v>
      </c>
      <c r="G62" s="12">
        <v>45944.0</v>
      </c>
      <c r="H62" s="11" t="s">
        <v>86</v>
      </c>
      <c r="I62" s="11" t="s">
        <v>1154</v>
      </c>
      <c r="J62" s="62" t="s">
        <v>1155</v>
      </c>
      <c r="K62" s="11">
        <v>4.210378078E9</v>
      </c>
      <c r="L62" s="16">
        <v>37669.0</v>
      </c>
      <c r="M62" s="11" t="s">
        <v>1156</v>
      </c>
    </row>
    <row r="63">
      <c r="A63" s="11" t="s">
        <v>1017</v>
      </c>
      <c r="B63" s="11" t="s">
        <v>664</v>
      </c>
      <c r="C63" s="11" t="s">
        <v>1157</v>
      </c>
      <c r="D63" s="11" t="s">
        <v>28</v>
      </c>
      <c r="E63" s="10">
        <f t="shared" si="1"/>
        <v>187</v>
      </c>
      <c r="F63" s="12">
        <v>46309.0</v>
      </c>
      <c r="G63" s="12">
        <v>45944.0</v>
      </c>
      <c r="H63" s="11" t="s">
        <v>86</v>
      </c>
      <c r="I63" s="11" t="s">
        <v>1158</v>
      </c>
      <c r="J63" s="62" t="s">
        <v>1159</v>
      </c>
      <c r="K63" s="11">
        <v>2.077306349E10</v>
      </c>
      <c r="L63" s="16">
        <v>38173.0</v>
      </c>
      <c r="M63" s="11" t="s">
        <v>1160</v>
      </c>
    </row>
    <row r="64">
      <c r="A64" s="11" t="s">
        <v>1017</v>
      </c>
      <c r="B64" s="11" t="s">
        <v>1161</v>
      </c>
      <c r="C64" s="11" t="s">
        <v>1162</v>
      </c>
      <c r="D64" s="11" t="s">
        <v>28</v>
      </c>
      <c r="E64" s="10">
        <f t="shared" si="1"/>
        <v>187</v>
      </c>
      <c r="F64" s="12">
        <v>46309.0</v>
      </c>
      <c r="G64" s="12">
        <v>45944.0</v>
      </c>
      <c r="H64" s="11" t="s">
        <v>86</v>
      </c>
      <c r="I64" s="11" t="s">
        <v>1163</v>
      </c>
      <c r="J64" s="62" t="s">
        <v>1164</v>
      </c>
      <c r="K64" s="11">
        <v>1.4090964019E10</v>
      </c>
      <c r="L64" s="16">
        <v>28903.0</v>
      </c>
      <c r="M64" s="11" t="s">
        <v>1165</v>
      </c>
    </row>
    <row r="65">
      <c r="A65" s="11" t="s">
        <v>1017</v>
      </c>
      <c r="B65" s="11" t="s">
        <v>373</v>
      </c>
      <c r="C65" s="11" t="s">
        <v>1166</v>
      </c>
      <c r="D65" s="11" t="s">
        <v>28</v>
      </c>
      <c r="E65" s="10">
        <f t="shared" si="1"/>
        <v>187</v>
      </c>
      <c r="F65" s="12">
        <v>46309.0</v>
      </c>
      <c r="G65" s="12">
        <v>45944.0</v>
      </c>
      <c r="H65" s="11" t="s">
        <v>86</v>
      </c>
      <c r="I65" s="11" t="s">
        <v>1167</v>
      </c>
      <c r="J65" s="62" t="s">
        <v>1168</v>
      </c>
      <c r="K65" s="11">
        <v>6.8740112034E10</v>
      </c>
      <c r="L65" s="16">
        <v>38410.0</v>
      </c>
      <c r="M65" s="11" t="s">
        <v>1169</v>
      </c>
    </row>
    <row r="66">
      <c r="A66" s="11" t="s">
        <v>1017</v>
      </c>
      <c r="B66" s="11" t="s">
        <v>1170</v>
      </c>
      <c r="C66" s="11" t="s">
        <v>1171</v>
      </c>
      <c r="D66" s="11" t="s">
        <v>28</v>
      </c>
      <c r="E66" s="10">
        <f t="shared" si="1"/>
        <v>187</v>
      </c>
      <c r="F66" s="12">
        <v>46309.0</v>
      </c>
      <c r="G66" s="12">
        <v>45944.0</v>
      </c>
      <c r="H66" s="11" t="s">
        <v>86</v>
      </c>
      <c r="I66" s="11" t="s">
        <v>1172</v>
      </c>
      <c r="J66" s="62" t="s">
        <v>1173</v>
      </c>
      <c r="K66" s="11">
        <v>7.7824288669E10</v>
      </c>
      <c r="L66" s="16">
        <v>37524.0</v>
      </c>
      <c r="M66" s="11" t="s">
        <v>1174</v>
      </c>
    </row>
    <row r="67">
      <c r="A67" s="11" t="s">
        <v>1017</v>
      </c>
      <c r="B67" s="11" t="s">
        <v>407</v>
      </c>
      <c r="C67" s="11" t="s">
        <v>1175</v>
      </c>
      <c r="D67" s="11" t="s">
        <v>28</v>
      </c>
      <c r="E67" s="10">
        <f t="shared" si="1"/>
        <v>187</v>
      </c>
      <c r="F67" s="12">
        <v>46309.0</v>
      </c>
      <c r="G67" s="12">
        <v>46309.0</v>
      </c>
      <c r="H67" s="11" t="s">
        <v>86</v>
      </c>
      <c r="I67" s="11" t="s">
        <v>1176</v>
      </c>
      <c r="J67" s="62" t="s">
        <v>1177</v>
      </c>
      <c r="K67" s="11">
        <v>8.6535576222E10</v>
      </c>
      <c r="L67" s="16">
        <v>38359.0</v>
      </c>
      <c r="M67" s="11" t="s">
        <v>1178</v>
      </c>
    </row>
    <row r="68">
      <c r="B68" s="11" t="s">
        <v>1179</v>
      </c>
      <c r="C68" s="11" t="s">
        <v>1180</v>
      </c>
      <c r="D68" s="11" t="s">
        <v>28</v>
      </c>
      <c r="E68" s="10">
        <f t="shared" si="1"/>
        <v>355</v>
      </c>
      <c r="F68" s="12">
        <v>46477.0</v>
      </c>
      <c r="G68" s="12">
        <v>46112.0</v>
      </c>
      <c r="H68" s="11" t="s">
        <v>86</v>
      </c>
      <c r="I68" s="11" t="s">
        <v>1181</v>
      </c>
      <c r="J68" s="62" t="s">
        <v>1182</v>
      </c>
      <c r="K68" s="11">
        <v>5.9659638574E10</v>
      </c>
      <c r="L68" s="12">
        <v>29142.0</v>
      </c>
      <c r="M68" s="11" t="s">
        <v>1183</v>
      </c>
    </row>
    <row r="69">
      <c r="J69" s="64"/>
    </row>
    <row r="70">
      <c r="J70" s="64"/>
    </row>
    <row r="71">
      <c r="J71" s="64"/>
    </row>
    <row r="72">
      <c r="J72" s="64"/>
    </row>
    <row r="73">
      <c r="J73" s="64"/>
    </row>
    <row r="74">
      <c r="J74" s="64"/>
    </row>
    <row r="75">
      <c r="J75" s="64"/>
    </row>
    <row r="76">
      <c r="J76" s="64"/>
    </row>
    <row r="77">
      <c r="J77" s="64"/>
    </row>
    <row r="78">
      <c r="J78" s="64"/>
    </row>
    <row r="79">
      <c r="J79" s="64"/>
    </row>
    <row r="80">
      <c r="J80" s="64"/>
    </row>
    <row r="81">
      <c r="J81" s="64"/>
    </row>
    <row r="82">
      <c r="J82" s="64"/>
    </row>
    <row r="83">
      <c r="J83" s="64"/>
    </row>
    <row r="84">
      <c r="J84" s="64"/>
    </row>
    <row r="85">
      <c r="J85" s="64"/>
    </row>
    <row r="86">
      <c r="J86" s="64"/>
    </row>
    <row r="87">
      <c r="J87" s="64"/>
    </row>
    <row r="88">
      <c r="J88" s="64"/>
    </row>
    <row r="89">
      <c r="J89" s="64"/>
    </row>
    <row r="90">
      <c r="J90" s="64"/>
    </row>
    <row r="91">
      <c r="J91" s="64"/>
    </row>
    <row r="92">
      <c r="J92" s="64"/>
    </row>
    <row r="93">
      <c r="J93" s="64"/>
    </row>
    <row r="94">
      <c r="J94" s="64"/>
    </row>
    <row r="95">
      <c r="J95" s="64"/>
    </row>
    <row r="96">
      <c r="J96" s="64"/>
    </row>
    <row r="97">
      <c r="J97" s="64"/>
    </row>
    <row r="98">
      <c r="J98" s="64"/>
    </row>
    <row r="99">
      <c r="J99" s="64"/>
    </row>
    <row r="100">
      <c r="J100" s="64"/>
    </row>
    <row r="101">
      <c r="J101" s="64"/>
    </row>
    <row r="102">
      <c r="J102" s="64"/>
    </row>
    <row r="103">
      <c r="J103" s="64"/>
    </row>
    <row r="104">
      <c r="J104" s="64"/>
    </row>
    <row r="105">
      <c r="J105" s="64"/>
    </row>
    <row r="106">
      <c r="J106" s="64"/>
    </row>
    <row r="107">
      <c r="J107" s="64"/>
    </row>
    <row r="108">
      <c r="J108" s="64"/>
    </row>
    <row r="109">
      <c r="J109" s="64"/>
    </row>
    <row r="110">
      <c r="J110" s="64"/>
    </row>
    <row r="111">
      <c r="J111" s="64"/>
    </row>
    <row r="112">
      <c r="J112" s="64"/>
    </row>
    <row r="113">
      <c r="J113" s="64"/>
    </row>
    <row r="114">
      <c r="J114" s="64"/>
    </row>
    <row r="115">
      <c r="J115" s="64"/>
    </row>
    <row r="116">
      <c r="J116" s="64"/>
    </row>
    <row r="117">
      <c r="J117" s="64"/>
    </row>
    <row r="118">
      <c r="J118" s="64"/>
    </row>
    <row r="119">
      <c r="J119" s="64"/>
    </row>
    <row r="120">
      <c r="J120" s="64"/>
    </row>
    <row r="121">
      <c r="J121" s="64"/>
    </row>
    <row r="122">
      <c r="J122" s="64"/>
    </row>
    <row r="123">
      <c r="J123" s="64"/>
    </row>
    <row r="124">
      <c r="J124" s="64"/>
    </row>
    <row r="125">
      <c r="J125" s="64"/>
    </row>
    <row r="126">
      <c r="J126" s="64"/>
    </row>
    <row r="127">
      <c r="J127" s="64"/>
    </row>
    <row r="128">
      <c r="J128" s="64"/>
    </row>
    <row r="129">
      <c r="J129" s="64"/>
    </row>
    <row r="130">
      <c r="J130" s="64"/>
    </row>
    <row r="131">
      <c r="J131" s="64"/>
    </row>
    <row r="132">
      <c r="J132" s="64"/>
    </row>
    <row r="133">
      <c r="J133" s="64"/>
    </row>
    <row r="134">
      <c r="J134" s="64"/>
    </row>
    <row r="135">
      <c r="J135" s="64"/>
    </row>
    <row r="136">
      <c r="J136" s="64"/>
    </row>
    <row r="137">
      <c r="J137" s="64"/>
    </row>
    <row r="138">
      <c r="J138" s="64"/>
    </row>
    <row r="139">
      <c r="J139" s="64"/>
    </row>
    <row r="140">
      <c r="J140" s="64"/>
    </row>
    <row r="141">
      <c r="J141" s="64"/>
    </row>
    <row r="142">
      <c r="J142" s="64"/>
    </row>
    <row r="143">
      <c r="J143" s="64"/>
    </row>
    <row r="144">
      <c r="J144" s="64"/>
    </row>
    <row r="145">
      <c r="J145" s="64"/>
    </row>
    <row r="146">
      <c r="J146" s="64"/>
    </row>
    <row r="147">
      <c r="J147" s="64"/>
    </row>
    <row r="148">
      <c r="J148" s="64"/>
    </row>
    <row r="149">
      <c r="J149" s="64"/>
    </row>
    <row r="150">
      <c r="J150" s="64"/>
    </row>
    <row r="151">
      <c r="J151" s="64"/>
    </row>
    <row r="152">
      <c r="J152" s="64"/>
    </row>
    <row r="153">
      <c r="J153" s="64"/>
    </row>
    <row r="154">
      <c r="J154" s="64"/>
    </row>
    <row r="155">
      <c r="J155" s="64"/>
    </row>
    <row r="156">
      <c r="J156" s="64"/>
    </row>
    <row r="157">
      <c r="J157" s="64"/>
    </row>
    <row r="158">
      <c r="J158" s="64"/>
    </row>
    <row r="159">
      <c r="J159" s="64"/>
    </row>
    <row r="160">
      <c r="J160" s="64"/>
    </row>
    <row r="161">
      <c r="J161" s="64"/>
    </row>
    <row r="162">
      <c r="J162" s="64"/>
    </row>
    <row r="163">
      <c r="J163" s="64"/>
    </row>
    <row r="164">
      <c r="J164" s="64"/>
    </row>
    <row r="165">
      <c r="J165" s="64"/>
    </row>
    <row r="166">
      <c r="J166" s="64"/>
    </row>
    <row r="167">
      <c r="J167" s="64"/>
    </row>
    <row r="168">
      <c r="J168" s="64"/>
    </row>
    <row r="169">
      <c r="J169" s="64"/>
    </row>
    <row r="170">
      <c r="J170" s="64"/>
    </row>
    <row r="171">
      <c r="J171" s="64"/>
    </row>
    <row r="172">
      <c r="J172" s="64"/>
    </row>
    <row r="173">
      <c r="J173" s="64"/>
    </row>
    <row r="174">
      <c r="J174" s="64"/>
    </row>
    <row r="175">
      <c r="J175" s="64"/>
    </row>
    <row r="176">
      <c r="J176" s="64"/>
    </row>
    <row r="177">
      <c r="J177" s="64"/>
    </row>
    <row r="178">
      <c r="J178" s="64"/>
    </row>
    <row r="179">
      <c r="J179" s="64"/>
    </row>
    <row r="180">
      <c r="J180" s="64"/>
    </row>
    <row r="181">
      <c r="J181" s="64"/>
    </row>
    <row r="182">
      <c r="J182" s="64"/>
    </row>
    <row r="183">
      <c r="J183" s="64"/>
    </row>
    <row r="184">
      <c r="J184" s="64"/>
    </row>
    <row r="185">
      <c r="J185" s="64"/>
    </row>
    <row r="186">
      <c r="J186" s="64"/>
    </row>
    <row r="187">
      <c r="J187" s="64"/>
    </row>
    <row r="188">
      <c r="J188" s="64"/>
    </row>
    <row r="189">
      <c r="J189" s="64"/>
    </row>
    <row r="190">
      <c r="J190" s="64"/>
    </row>
    <row r="191">
      <c r="J191" s="64"/>
    </row>
    <row r="192">
      <c r="J192" s="64"/>
    </row>
    <row r="193">
      <c r="J193" s="64"/>
    </row>
    <row r="194">
      <c r="J194" s="64"/>
    </row>
    <row r="195">
      <c r="J195" s="64"/>
    </row>
    <row r="196">
      <c r="J196" s="64"/>
    </row>
    <row r="197">
      <c r="J197" s="64"/>
    </row>
    <row r="198">
      <c r="J198" s="64"/>
    </row>
    <row r="199">
      <c r="J199" s="64"/>
    </row>
    <row r="200">
      <c r="J200" s="64"/>
    </row>
    <row r="201">
      <c r="J201" s="64"/>
    </row>
    <row r="202">
      <c r="J202" s="64"/>
    </row>
    <row r="203">
      <c r="J203" s="64"/>
    </row>
    <row r="204">
      <c r="J204" s="64"/>
    </row>
    <row r="205">
      <c r="J205" s="64"/>
    </row>
    <row r="206">
      <c r="J206" s="64"/>
    </row>
    <row r="207">
      <c r="J207" s="64"/>
    </row>
    <row r="208">
      <c r="J208" s="64"/>
    </row>
    <row r="209">
      <c r="J209" s="64"/>
    </row>
    <row r="210">
      <c r="J210" s="64"/>
    </row>
    <row r="211">
      <c r="J211" s="64"/>
    </row>
    <row r="212">
      <c r="J212" s="64"/>
    </row>
    <row r="213">
      <c r="J213" s="64"/>
    </row>
    <row r="214">
      <c r="J214" s="64"/>
    </row>
    <row r="215">
      <c r="J215" s="64"/>
    </row>
    <row r="216">
      <c r="J216" s="64"/>
    </row>
    <row r="217">
      <c r="J217" s="64"/>
    </row>
    <row r="218">
      <c r="J218" s="64"/>
    </row>
    <row r="219">
      <c r="J219" s="64"/>
    </row>
    <row r="220">
      <c r="J220" s="64"/>
    </row>
    <row r="221">
      <c r="J221" s="64"/>
    </row>
    <row r="222">
      <c r="J222" s="64"/>
    </row>
    <row r="223">
      <c r="J223" s="64"/>
    </row>
    <row r="224">
      <c r="J224" s="64"/>
    </row>
    <row r="225">
      <c r="J225" s="64"/>
    </row>
    <row r="226">
      <c r="J226" s="64"/>
    </row>
    <row r="227">
      <c r="J227" s="64"/>
    </row>
    <row r="228">
      <c r="J228" s="64"/>
    </row>
    <row r="229">
      <c r="J229" s="64"/>
    </row>
    <row r="230">
      <c r="J230" s="64"/>
    </row>
    <row r="231">
      <c r="J231" s="64"/>
    </row>
    <row r="232">
      <c r="J232" s="64"/>
    </row>
    <row r="233">
      <c r="J233" s="64"/>
    </row>
    <row r="234">
      <c r="J234" s="64"/>
    </row>
    <row r="235">
      <c r="J235" s="64"/>
    </row>
    <row r="236">
      <c r="J236" s="64"/>
    </row>
    <row r="237">
      <c r="J237" s="64"/>
    </row>
    <row r="238">
      <c r="J238" s="64"/>
    </row>
    <row r="239">
      <c r="J239" s="64"/>
    </row>
    <row r="240">
      <c r="J240" s="64"/>
    </row>
    <row r="241">
      <c r="J241" s="64"/>
    </row>
    <row r="242">
      <c r="J242" s="64"/>
    </row>
    <row r="243">
      <c r="J243" s="64"/>
    </row>
    <row r="244">
      <c r="J244" s="64"/>
    </row>
    <row r="245">
      <c r="J245" s="64"/>
    </row>
    <row r="246">
      <c r="J246" s="64"/>
    </row>
    <row r="247">
      <c r="J247" s="64"/>
    </row>
    <row r="248">
      <c r="J248" s="64"/>
    </row>
    <row r="249">
      <c r="J249" s="64"/>
    </row>
    <row r="250">
      <c r="J250" s="64"/>
    </row>
    <row r="251">
      <c r="J251" s="64"/>
    </row>
    <row r="252">
      <c r="J252" s="64"/>
    </row>
    <row r="253">
      <c r="J253" s="64"/>
    </row>
    <row r="254">
      <c r="J254" s="64"/>
    </row>
    <row r="255">
      <c r="J255" s="64"/>
    </row>
    <row r="256">
      <c r="J256" s="64"/>
    </row>
    <row r="257">
      <c r="J257" s="64"/>
    </row>
    <row r="258">
      <c r="J258" s="64"/>
    </row>
    <row r="259">
      <c r="J259" s="64"/>
    </row>
    <row r="260">
      <c r="J260" s="64"/>
    </row>
    <row r="261">
      <c r="J261" s="64"/>
    </row>
    <row r="262">
      <c r="J262" s="64"/>
    </row>
    <row r="263">
      <c r="J263" s="64"/>
    </row>
    <row r="264">
      <c r="J264" s="64"/>
    </row>
    <row r="265">
      <c r="J265" s="64"/>
    </row>
    <row r="266">
      <c r="J266" s="64"/>
    </row>
    <row r="267">
      <c r="J267" s="64"/>
    </row>
    <row r="268">
      <c r="J268" s="64"/>
    </row>
    <row r="269">
      <c r="J269" s="64"/>
    </row>
    <row r="270">
      <c r="J270" s="64"/>
    </row>
    <row r="271">
      <c r="J271" s="64"/>
    </row>
    <row r="272">
      <c r="J272" s="64"/>
    </row>
    <row r="273">
      <c r="J273" s="64"/>
    </row>
    <row r="274">
      <c r="J274" s="64"/>
    </row>
    <row r="275">
      <c r="J275" s="64"/>
    </row>
    <row r="276">
      <c r="J276" s="64"/>
    </row>
    <row r="277">
      <c r="J277" s="64"/>
    </row>
    <row r="278">
      <c r="J278" s="64"/>
    </row>
    <row r="279">
      <c r="J279" s="64"/>
    </row>
    <row r="280">
      <c r="J280" s="64"/>
    </row>
    <row r="281">
      <c r="J281" s="64"/>
    </row>
    <row r="282">
      <c r="J282" s="64"/>
    </row>
    <row r="283">
      <c r="J283" s="64"/>
    </row>
    <row r="284">
      <c r="J284" s="64"/>
    </row>
    <row r="285">
      <c r="J285" s="64"/>
    </row>
    <row r="286">
      <c r="J286" s="64"/>
    </row>
    <row r="287">
      <c r="J287" s="64"/>
    </row>
    <row r="288">
      <c r="J288" s="64"/>
    </row>
    <row r="289">
      <c r="J289" s="64"/>
    </row>
    <row r="290">
      <c r="J290" s="64"/>
    </row>
    <row r="291">
      <c r="J291" s="64"/>
    </row>
    <row r="292">
      <c r="J292" s="64"/>
    </row>
    <row r="293">
      <c r="J293" s="64"/>
    </row>
    <row r="294">
      <c r="J294" s="64"/>
    </row>
    <row r="295">
      <c r="J295" s="64"/>
    </row>
    <row r="296">
      <c r="J296" s="64"/>
    </row>
    <row r="297">
      <c r="J297" s="64"/>
    </row>
    <row r="298">
      <c r="J298" s="64"/>
    </row>
    <row r="299">
      <c r="J299" s="64"/>
    </row>
    <row r="300">
      <c r="J300" s="64"/>
    </row>
    <row r="301">
      <c r="J301" s="64"/>
    </row>
    <row r="302">
      <c r="J302" s="64"/>
    </row>
    <row r="303">
      <c r="J303" s="64"/>
    </row>
    <row r="304">
      <c r="J304" s="64"/>
    </row>
    <row r="305">
      <c r="J305" s="64"/>
    </row>
    <row r="306">
      <c r="J306" s="64"/>
    </row>
    <row r="307">
      <c r="J307" s="64"/>
    </row>
    <row r="308">
      <c r="J308" s="64"/>
    </row>
    <row r="309">
      <c r="J309" s="64"/>
    </row>
    <row r="310">
      <c r="J310" s="64"/>
    </row>
    <row r="311">
      <c r="J311" s="64"/>
    </row>
    <row r="312">
      <c r="J312" s="64"/>
    </row>
    <row r="313">
      <c r="J313" s="64"/>
    </row>
    <row r="314">
      <c r="J314" s="64"/>
    </row>
    <row r="315">
      <c r="J315" s="64"/>
    </row>
    <row r="316">
      <c r="J316" s="64"/>
    </row>
    <row r="317">
      <c r="J317" s="64"/>
    </row>
    <row r="318">
      <c r="J318" s="64"/>
    </row>
    <row r="319">
      <c r="J319" s="64"/>
    </row>
    <row r="320">
      <c r="J320" s="64"/>
    </row>
    <row r="321">
      <c r="J321" s="64"/>
    </row>
    <row r="322">
      <c r="J322" s="64"/>
    </row>
    <row r="323">
      <c r="J323" s="64"/>
    </row>
    <row r="324">
      <c r="J324" s="64"/>
    </row>
    <row r="325">
      <c r="J325" s="64"/>
    </row>
    <row r="326">
      <c r="J326" s="64"/>
    </row>
    <row r="327">
      <c r="J327" s="64"/>
    </row>
    <row r="328">
      <c r="J328" s="64"/>
    </row>
    <row r="329">
      <c r="J329" s="64"/>
    </row>
    <row r="330">
      <c r="J330" s="64"/>
    </row>
    <row r="331">
      <c r="J331" s="64"/>
    </row>
    <row r="332">
      <c r="J332" s="64"/>
    </row>
    <row r="333">
      <c r="J333" s="64"/>
    </row>
    <row r="334">
      <c r="J334" s="64"/>
    </row>
    <row r="335">
      <c r="J335" s="64"/>
    </row>
    <row r="336">
      <c r="J336" s="64"/>
    </row>
    <row r="337">
      <c r="J337" s="64"/>
    </row>
    <row r="338">
      <c r="J338" s="64"/>
    </row>
    <row r="339">
      <c r="J339" s="64"/>
    </row>
    <row r="340">
      <c r="J340" s="64"/>
    </row>
    <row r="341">
      <c r="J341" s="64"/>
    </row>
    <row r="342">
      <c r="J342" s="64"/>
    </row>
    <row r="343">
      <c r="J343" s="64"/>
    </row>
    <row r="344">
      <c r="J344" s="64"/>
    </row>
    <row r="345">
      <c r="J345" s="64"/>
    </row>
    <row r="346">
      <c r="J346" s="64"/>
    </row>
    <row r="347">
      <c r="J347" s="64"/>
    </row>
    <row r="348">
      <c r="J348" s="64"/>
    </row>
    <row r="349">
      <c r="J349" s="64"/>
    </row>
    <row r="350">
      <c r="J350" s="64"/>
    </row>
    <row r="351">
      <c r="J351" s="64"/>
    </row>
    <row r="352">
      <c r="J352" s="64"/>
    </row>
    <row r="353">
      <c r="J353" s="64"/>
    </row>
    <row r="354">
      <c r="J354" s="64"/>
    </row>
    <row r="355">
      <c r="J355" s="64"/>
    </row>
    <row r="356">
      <c r="J356" s="64"/>
    </row>
    <row r="357">
      <c r="J357" s="64"/>
    </row>
    <row r="358">
      <c r="J358" s="64"/>
    </row>
    <row r="359">
      <c r="J359" s="64"/>
    </row>
    <row r="360">
      <c r="J360" s="64"/>
    </row>
    <row r="361">
      <c r="J361" s="64"/>
    </row>
    <row r="362">
      <c r="J362" s="64"/>
    </row>
    <row r="363">
      <c r="J363" s="64"/>
    </row>
    <row r="364">
      <c r="J364" s="64"/>
    </row>
    <row r="365">
      <c r="J365" s="64"/>
    </row>
    <row r="366">
      <c r="J366" s="64"/>
    </row>
    <row r="367">
      <c r="J367" s="64"/>
    </row>
    <row r="368">
      <c r="J368" s="64"/>
    </row>
    <row r="369">
      <c r="J369" s="64"/>
    </row>
    <row r="370">
      <c r="J370" s="64"/>
    </row>
    <row r="371">
      <c r="J371" s="64"/>
    </row>
    <row r="372">
      <c r="J372" s="64"/>
    </row>
    <row r="373">
      <c r="J373" s="64"/>
    </row>
    <row r="374">
      <c r="J374" s="64"/>
    </row>
    <row r="375">
      <c r="J375" s="64"/>
    </row>
    <row r="376">
      <c r="J376" s="64"/>
    </row>
    <row r="377">
      <c r="J377" s="64"/>
    </row>
    <row r="378">
      <c r="J378" s="64"/>
    </row>
    <row r="379">
      <c r="J379" s="64"/>
    </row>
    <row r="380">
      <c r="J380" s="64"/>
    </row>
    <row r="381">
      <c r="J381" s="64"/>
    </row>
    <row r="382">
      <c r="J382" s="64"/>
    </row>
    <row r="383">
      <c r="J383" s="64"/>
    </row>
    <row r="384">
      <c r="J384" s="64"/>
    </row>
    <row r="385">
      <c r="J385" s="64"/>
    </row>
    <row r="386">
      <c r="J386" s="64"/>
    </row>
    <row r="387">
      <c r="J387" s="64"/>
    </row>
    <row r="388">
      <c r="J388" s="64"/>
    </row>
    <row r="389">
      <c r="J389" s="64"/>
    </row>
    <row r="390">
      <c r="J390" s="64"/>
    </row>
    <row r="391">
      <c r="J391" s="64"/>
    </row>
    <row r="392">
      <c r="J392" s="64"/>
    </row>
    <row r="393">
      <c r="J393" s="64"/>
    </row>
    <row r="394">
      <c r="J394" s="64"/>
    </row>
    <row r="395">
      <c r="J395" s="64"/>
    </row>
    <row r="396">
      <c r="J396" s="64"/>
    </row>
    <row r="397">
      <c r="J397" s="64"/>
    </row>
    <row r="398">
      <c r="J398" s="64"/>
    </row>
    <row r="399">
      <c r="J399" s="64"/>
    </row>
    <row r="400">
      <c r="J400" s="64"/>
    </row>
    <row r="401">
      <c r="J401" s="64"/>
    </row>
    <row r="402">
      <c r="J402" s="64"/>
    </row>
    <row r="403">
      <c r="J403" s="64"/>
    </row>
    <row r="404">
      <c r="J404" s="64"/>
    </row>
    <row r="405">
      <c r="J405" s="64"/>
    </row>
    <row r="406">
      <c r="J406" s="64"/>
    </row>
    <row r="407">
      <c r="J407" s="64"/>
    </row>
    <row r="408">
      <c r="J408" s="64"/>
    </row>
    <row r="409">
      <c r="J409" s="64"/>
    </row>
    <row r="410">
      <c r="J410" s="64"/>
    </row>
    <row r="411">
      <c r="J411" s="64"/>
    </row>
    <row r="412">
      <c r="J412" s="64"/>
    </row>
    <row r="413">
      <c r="J413" s="64"/>
    </row>
    <row r="414">
      <c r="J414" s="64"/>
    </row>
    <row r="415">
      <c r="J415" s="64"/>
    </row>
    <row r="416">
      <c r="J416" s="64"/>
    </row>
    <row r="417">
      <c r="J417" s="64"/>
    </row>
    <row r="418">
      <c r="J418" s="64"/>
    </row>
    <row r="419">
      <c r="J419" s="64"/>
    </row>
    <row r="420">
      <c r="J420" s="64"/>
    </row>
    <row r="421">
      <c r="J421" s="64"/>
    </row>
    <row r="422">
      <c r="J422" s="64"/>
    </row>
    <row r="423">
      <c r="J423" s="64"/>
    </row>
    <row r="424">
      <c r="J424" s="64"/>
    </row>
    <row r="425">
      <c r="J425" s="64"/>
    </row>
    <row r="426">
      <c r="J426" s="64"/>
    </row>
    <row r="427">
      <c r="J427" s="64"/>
    </row>
    <row r="428">
      <c r="J428" s="64"/>
    </row>
    <row r="429">
      <c r="J429" s="64"/>
    </row>
    <row r="430">
      <c r="J430" s="64"/>
    </row>
    <row r="431">
      <c r="J431" s="64"/>
    </row>
    <row r="432">
      <c r="J432" s="64"/>
    </row>
    <row r="433">
      <c r="J433" s="64"/>
    </row>
    <row r="434">
      <c r="J434" s="64"/>
    </row>
    <row r="435">
      <c r="J435" s="64"/>
    </row>
    <row r="436">
      <c r="J436" s="64"/>
    </row>
    <row r="437">
      <c r="J437" s="64"/>
    </row>
    <row r="438">
      <c r="J438" s="64"/>
    </row>
    <row r="439">
      <c r="J439" s="64"/>
    </row>
    <row r="440">
      <c r="J440" s="64"/>
    </row>
    <row r="441">
      <c r="J441" s="64"/>
    </row>
    <row r="442">
      <c r="J442" s="64"/>
    </row>
    <row r="443">
      <c r="J443" s="64"/>
    </row>
    <row r="444">
      <c r="J444" s="64"/>
    </row>
    <row r="445">
      <c r="J445" s="64"/>
    </row>
    <row r="446">
      <c r="J446" s="64"/>
    </row>
    <row r="447">
      <c r="J447" s="64"/>
    </row>
    <row r="448">
      <c r="J448" s="64"/>
    </row>
    <row r="449">
      <c r="J449" s="64"/>
    </row>
    <row r="450">
      <c r="J450" s="64"/>
    </row>
    <row r="451">
      <c r="J451" s="64"/>
    </row>
    <row r="452">
      <c r="J452" s="64"/>
    </row>
    <row r="453">
      <c r="J453" s="64"/>
    </row>
    <row r="454">
      <c r="J454" s="64"/>
    </row>
    <row r="455">
      <c r="J455" s="64"/>
    </row>
    <row r="456">
      <c r="J456" s="64"/>
    </row>
    <row r="457">
      <c r="J457" s="64"/>
    </row>
    <row r="458">
      <c r="J458" s="64"/>
    </row>
    <row r="459">
      <c r="J459" s="64"/>
    </row>
    <row r="460">
      <c r="J460" s="64"/>
    </row>
    <row r="461">
      <c r="J461" s="64"/>
    </row>
    <row r="462">
      <c r="J462" s="64"/>
    </row>
    <row r="463">
      <c r="J463" s="64"/>
    </row>
    <row r="464">
      <c r="J464" s="64"/>
    </row>
    <row r="465">
      <c r="J465" s="64"/>
    </row>
    <row r="466">
      <c r="J466" s="64"/>
    </row>
    <row r="467">
      <c r="J467" s="64"/>
    </row>
    <row r="468">
      <c r="J468" s="64"/>
    </row>
    <row r="469">
      <c r="J469" s="64"/>
    </row>
    <row r="470">
      <c r="J470" s="64"/>
    </row>
    <row r="471">
      <c r="J471" s="64"/>
    </row>
    <row r="472">
      <c r="J472" s="64"/>
    </row>
    <row r="473">
      <c r="J473" s="64"/>
    </row>
    <row r="474">
      <c r="J474" s="64"/>
    </row>
    <row r="475">
      <c r="J475" s="64"/>
    </row>
    <row r="476">
      <c r="J476" s="64"/>
    </row>
    <row r="477">
      <c r="J477" s="64"/>
    </row>
    <row r="478">
      <c r="J478" s="64"/>
    </row>
    <row r="479">
      <c r="J479" s="64"/>
    </row>
    <row r="480">
      <c r="J480" s="64"/>
    </row>
    <row r="481">
      <c r="J481" s="64"/>
    </row>
    <row r="482">
      <c r="J482" s="64"/>
    </row>
    <row r="483">
      <c r="J483" s="64"/>
    </row>
    <row r="484">
      <c r="J484" s="64"/>
    </row>
    <row r="485">
      <c r="J485" s="64"/>
    </row>
    <row r="486">
      <c r="J486" s="64"/>
    </row>
    <row r="487">
      <c r="J487" s="64"/>
    </row>
    <row r="488">
      <c r="J488" s="64"/>
    </row>
    <row r="489">
      <c r="J489" s="64"/>
    </row>
    <row r="490">
      <c r="J490" s="64"/>
    </row>
    <row r="491">
      <c r="J491" s="64"/>
    </row>
    <row r="492">
      <c r="J492" s="64"/>
    </row>
    <row r="493">
      <c r="J493" s="64"/>
    </row>
    <row r="494">
      <c r="J494" s="64"/>
    </row>
    <row r="495">
      <c r="J495" s="64"/>
    </row>
    <row r="496">
      <c r="J496" s="64"/>
    </row>
    <row r="497">
      <c r="J497" s="64"/>
    </row>
    <row r="498">
      <c r="J498" s="64"/>
    </row>
    <row r="499">
      <c r="J499" s="64"/>
    </row>
    <row r="500">
      <c r="J500" s="64"/>
    </row>
    <row r="501">
      <c r="J501" s="64"/>
    </row>
    <row r="502">
      <c r="J502" s="64"/>
    </row>
    <row r="503">
      <c r="J503" s="64"/>
    </row>
    <row r="504">
      <c r="J504" s="64"/>
    </row>
    <row r="505">
      <c r="J505" s="64"/>
    </row>
    <row r="506">
      <c r="J506" s="64"/>
    </row>
    <row r="507">
      <c r="J507" s="64"/>
    </row>
    <row r="508">
      <c r="J508" s="64"/>
    </row>
    <row r="509">
      <c r="J509" s="64"/>
    </row>
    <row r="510">
      <c r="J510" s="64"/>
    </row>
    <row r="511">
      <c r="J511" s="64"/>
    </row>
    <row r="512">
      <c r="J512" s="64"/>
    </row>
    <row r="513">
      <c r="J513" s="64"/>
    </row>
    <row r="514">
      <c r="J514" s="64"/>
    </row>
    <row r="515">
      <c r="J515" s="64"/>
    </row>
    <row r="516">
      <c r="J516" s="64"/>
    </row>
    <row r="517">
      <c r="J517" s="64"/>
    </row>
    <row r="518">
      <c r="J518" s="64"/>
    </row>
    <row r="519">
      <c r="J519" s="64"/>
    </row>
    <row r="520">
      <c r="J520" s="64"/>
    </row>
    <row r="521">
      <c r="J521" s="64"/>
    </row>
    <row r="522">
      <c r="J522" s="64"/>
    </row>
    <row r="523">
      <c r="J523" s="64"/>
    </row>
    <row r="524">
      <c r="J524" s="64"/>
    </row>
    <row r="525">
      <c r="J525" s="64"/>
    </row>
    <row r="526">
      <c r="J526" s="64"/>
    </row>
    <row r="527">
      <c r="J527" s="64"/>
    </row>
    <row r="528">
      <c r="J528" s="64"/>
    </row>
    <row r="529">
      <c r="J529" s="64"/>
    </row>
    <row r="530">
      <c r="J530" s="64"/>
    </row>
    <row r="531">
      <c r="J531" s="64"/>
    </row>
    <row r="532">
      <c r="J532" s="64"/>
    </row>
    <row r="533">
      <c r="J533" s="64"/>
    </row>
    <row r="534">
      <c r="J534" s="64"/>
    </row>
    <row r="535">
      <c r="J535" s="64"/>
    </row>
    <row r="536">
      <c r="J536" s="64"/>
    </row>
    <row r="537">
      <c r="J537" s="64"/>
    </row>
    <row r="538">
      <c r="J538" s="64"/>
    </row>
    <row r="539">
      <c r="J539" s="64"/>
    </row>
    <row r="540">
      <c r="J540" s="64"/>
    </row>
    <row r="541">
      <c r="J541" s="64"/>
    </row>
    <row r="542">
      <c r="J542" s="64"/>
    </row>
    <row r="543">
      <c r="J543" s="64"/>
    </row>
    <row r="544">
      <c r="J544" s="64"/>
    </row>
    <row r="545">
      <c r="J545" s="64"/>
    </row>
    <row r="546">
      <c r="J546" s="64"/>
    </row>
    <row r="547">
      <c r="J547" s="64"/>
    </row>
    <row r="548">
      <c r="J548" s="64"/>
    </row>
    <row r="549">
      <c r="J549" s="64"/>
    </row>
    <row r="550">
      <c r="J550" s="64"/>
    </row>
    <row r="551">
      <c r="J551" s="64"/>
    </row>
    <row r="552">
      <c r="J552" s="64"/>
    </row>
    <row r="553">
      <c r="J553" s="64"/>
    </row>
    <row r="554">
      <c r="J554" s="64"/>
    </row>
    <row r="555">
      <c r="J555" s="64"/>
    </row>
    <row r="556">
      <c r="J556" s="64"/>
    </row>
    <row r="557">
      <c r="J557" s="64"/>
    </row>
    <row r="558">
      <c r="J558" s="64"/>
    </row>
    <row r="559">
      <c r="J559" s="64"/>
    </row>
    <row r="560">
      <c r="J560" s="64"/>
    </row>
    <row r="561">
      <c r="J561" s="64"/>
    </row>
    <row r="562">
      <c r="J562" s="64"/>
    </row>
    <row r="563">
      <c r="J563" s="64"/>
    </row>
    <row r="564">
      <c r="J564" s="64"/>
    </row>
    <row r="565">
      <c r="J565" s="64"/>
    </row>
    <row r="566">
      <c r="J566" s="64"/>
    </row>
    <row r="567">
      <c r="J567" s="64"/>
    </row>
    <row r="568">
      <c r="J568" s="64"/>
    </row>
    <row r="569">
      <c r="J569" s="64"/>
    </row>
    <row r="570">
      <c r="J570" s="64"/>
    </row>
    <row r="571">
      <c r="J571" s="64"/>
    </row>
    <row r="572">
      <c r="J572" s="64"/>
    </row>
    <row r="573">
      <c r="J573" s="64"/>
    </row>
    <row r="574">
      <c r="J574" s="64"/>
    </row>
    <row r="575">
      <c r="J575" s="64"/>
    </row>
    <row r="576">
      <c r="J576" s="64"/>
    </row>
    <row r="577">
      <c r="J577" s="64"/>
    </row>
    <row r="578">
      <c r="J578" s="64"/>
    </row>
    <row r="579">
      <c r="J579" s="64"/>
    </row>
    <row r="580">
      <c r="J580" s="64"/>
    </row>
    <row r="581">
      <c r="J581" s="64"/>
    </row>
    <row r="582">
      <c r="J582" s="64"/>
    </row>
    <row r="583">
      <c r="J583" s="64"/>
    </row>
    <row r="584">
      <c r="J584" s="64"/>
    </row>
    <row r="585">
      <c r="J585" s="64"/>
    </row>
    <row r="586">
      <c r="J586" s="64"/>
    </row>
    <row r="587">
      <c r="J587" s="64"/>
    </row>
    <row r="588">
      <c r="J588" s="64"/>
    </row>
    <row r="589">
      <c r="J589" s="64"/>
    </row>
    <row r="590">
      <c r="J590" s="64"/>
    </row>
    <row r="591">
      <c r="J591" s="64"/>
    </row>
    <row r="592">
      <c r="J592" s="64"/>
    </row>
    <row r="593">
      <c r="J593" s="64"/>
    </row>
    <row r="594">
      <c r="J594" s="64"/>
    </row>
    <row r="595">
      <c r="J595" s="64"/>
    </row>
    <row r="596">
      <c r="J596" s="64"/>
    </row>
    <row r="597">
      <c r="J597" s="64"/>
    </row>
    <row r="598">
      <c r="J598" s="64"/>
    </row>
    <row r="599">
      <c r="J599" s="64"/>
    </row>
    <row r="600">
      <c r="J600" s="64"/>
    </row>
    <row r="601">
      <c r="J601" s="64"/>
    </row>
    <row r="602">
      <c r="J602" s="64"/>
    </row>
    <row r="603">
      <c r="J603" s="64"/>
    </row>
    <row r="604">
      <c r="J604" s="64"/>
    </row>
    <row r="605">
      <c r="J605" s="64"/>
    </row>
    <row r="606">
      <c r="J606" s="64"/>
    </row>
    <row r="607">
      <c r="J607" s="64"/>
    </row>
    <row r="608">
      <c r="J608" s="64"/>
    </row>
    <row r="609">
      <c r="J609" s="64"/>
    </row>
    <row r="610">
      <c r="J610" s="64"/>
    </row>
    <row r="611">
      <c r="J611" s="64"/>
    </row>
    <row r="612">
      <c r="J612" s="64"/>
    </row>
    <row r="613">
      <c r="J613" s="64"/>
    </row>
    <row r="614">
      <c r="J614" s="64"/>
    </row>
    <row r="615">
      <c r="J615" s="64"/>
    </row>
    <row r="616">
      <c r="J616" s="64"/>
    </row>
    <row r="617">
      <c r="J617" s="64"/>
    </row>
    <row r="618">
      <c r="J618" s="64"/>
    </row>
    <row r="619">
      <c r="J619" s="64"/>
    </row>
    <row r="620">
      <c r="J620" s="64"/>
    </row>
    <row r="621">
      <c r="J621" s="64"/>
    </row>
    <row r="622">
      <c r="J622" s="64"/>
    </row>
    <row r="623">
      <c r="J623" s="64"/>
    </row>
    <row r="624">
      <c r="J624" s="64"/>
    </row>
    <row r="625">
      <c r="J625" s="64"/>
    </row>
    <row r="626">
      <c r="J626" s="64"/>
    </row>
    <row r="627">
      <c r="J627" s="64"/>
    </row>
    <row r="628">
      <c r="J628" s="64"/>
    </row>
    <row r="629">
      <c r="J629" s="64"/>
    </row>
    <row r="630">
      <c r="J630" s="64"/>
    </row>
    <row r="631">
      <c r="J631" s="64"/>
    </row>
    <row r="632">
      <c r="J632" s="64"/>
    </row>
    <row r="633">
      <c r="J633" s="64"/>
    </row>
    <row r="634">
      <c r="J634" s="64"/>
    </row>
    <row r="635">
      <c r="J635" s="64"/>
    </row>
    <row r="636">
      <c r="J636" s="64"/>
    </row>
    <row r="637">
      <c r="J637" s="64"/>
    </row>
    <row r="638">
      <c r="J638" s="64"/>
    </row>
    <row r="639">
      <c r="J639" s="64"/>
    </row>
    <row r="640">
      <c r="J640" s="64"/>
    </row>
    <row r="641">
      <c r="J641" s="64"/>
    </row>
    <row r="642">
      <c r="J642" s="64"/>
    </row>
    <row r="643">
      <c r="J643" s="64"/>
    </row>
    <row r="644">
      <c r="J644" s="64"/>
    </row>
    <row r="645">
      <c r="J645" s="64"/>
    </row>
    <row r="646">
      <c r="J646" s="64"/>
    </row>
    <row r="647">
      <c r="J647" s="64"/>
    </row>
    <row r="648">
      <c r="J648" s="64"/>
    </row>
    <row r="649">
      <c r="J649" s="64"/>
    </row>
    <row r="650">
      <c r="J650" s="64"/>
    </row>
    <row r="651">
      <c r="J651" s="64"/>
    </row>
    <row r="652">
      <c r="J652" s="64"/>
    </row>
    <row r="653">
      <c r="J653" s="64"/>
    </row>
    <row r="654">
      <c r="J654" s="64"/>
    </row>
    <row r="655">
      <c r="J655" s="64"/>
    </row>
    <row r="656">
      <c r="J656" s="64"/>
    </row>
    <row r="657">
      <c r="J657" s="64"/>
    </row>
    <row r="658">
      <c r="J658" s="64"/>
    </row>
    <row r="659">
      <c r="J659" s="64"/>
    </row>
    <row r="660">
      <c r="J660" s="64"/>
    </row>
    <row r="661">
      <c r="J661" s="64"/>
    </row>
    <row r="662">
      <c r="J662" s="64"/>
    </row>
    <row r="663">
      <c r="J663" s="64"/>
    </row>
    <row r="664">
      <c r="J664" s="64"/>
    </row>
    <row r="665">
      <c r="J665" s="64"/>
    </row>
    <row r="666">
      <c r="J666" s="64"/>
    </row>
    <row r="667">
      <c r="J667" s="64"/>
    </row>
    <row r="668">
      <c r="J668" s="64"/>
    </row>
    <row r="669">
      <c r="J669" s="64"/>
    </row>
    <row r="670">
      <c r="J670" s="64"/>
    </row>
    <row r="671">
      <c r="J671" s="64"/>
    </row>
    <row r="672">
      <c r="J672" s="64"/>
    </row>
    <row r="673">
      <c r="J673" s="64"/>
    </row>
    <row r="674">
      <c r="J674" s="64"/>
    </row>
    <row r="675">
      <c r="J675" s="64"/>
    </row>
    <row r="676">
      <c r="J676" s="64"/>
    </row>
    <row r="677">
      <c r="J677" s="64"/>
    </row>
    <row r="678">
      <c r="J678" s="64"/>
    </row>
    <row r="679">
      <c r="J679" s="64"/>
    </row>
    <row r="680">
      <c r="J680" s="64"/>
    </row>
    <row r="681">
      <c r="J681" s="64"/>
    </row>
    <row r="682">
      <c r="J682" s="64"/>
    </row>
    <row r="683">
      <c r="J683" s="64"/>
    </row>
    <row r="684">
      <c r="J684" s="64"/>
    </row>
    <row r="685">
      <c r="J685" s="64"/>
    </row>
    <row r="686">
      <c r="J686" s="64"/>
    </row>
    <row r="687">
      <c r="J687" s="64"/>
    </row>
    <row r="688">
      <c r="J688" s="64"/>
    </row>
    <row r="689">
      <c r="J689" s="64"/>
    </row>
    <row r="690">
      <c r="J690" s="64"/>
    </row>
    <row r="691">
      <c r="J691" s="64"/>
    </row>
    <row r="692">
      <c r="J692" s="64"/>
    </row>
    <row r="693">
      <c r="J693" s="64"/>
    </row>
    <row r="694">
      <c r="J694" s="64"/>
    </row>
    <row r="695">
      <c r="J695" s="64"/>
    </row>
    <row r="696">
      <c r="J696" s="64"/>
    </row>
    <row r="697">
      <c r="J697" s="64"/>
    </row>
    <row r="698">
      <c r="J698" s="64"/>
    </row>
    <row r="699">
      <c r="J699" s="64"/>
    </row>
    <row r="700">
      <c r="J700" s="64"/>
    </row>
    <row r="701">
      <c r="J701" s="64"/>
    </row>
    <row r="702">
      <c r="J702" s="64"/>
    </row>
    <row r="703">
      <c r="J703" s="64"/>
    </row>
    <row r="704">
      <c r="J704" s="64"/>
    </row>
    <row r="705">
      <c r="J705" s="64"/>
    </row>
    <row r="706">
      <c r="J706" s="64"/>
    </row>
    <row r="707">
      <c r="J707" s="64"/>
    </row>
    <row r="708">
      <c r="J708" s="64"/>
    </row>
    <row r="709">
      <c r="J709" s="64"/>
    </row>
    <row r="710">
      <c r="J710" s="64"/>
    </row>
    <row r="711">
      <c r="J711" s="64"/>
    </row>
    <row r="712">
      <c r="J712" s="64"/>
    </row>
    <row r="713">
      <c r="J713" s="64"/>
    </row>
    <row r="714">
      <c r="J714" s="64"/>
    </row>
    <row r="715">
      <c r="J715" s="64"/>
    </row>
    <row r="716">
      <c r="J716" s="64"/>
    </row>
    <row r="717">
      <c r="J717" s="64"/>
    </row>
    <row r="718">
      <c r="J718" s="64"/>
    </row>
    <row r="719">
      <c r="J719" s="64"/>
    </row>
    <row r="720">
      <c r="J720" s="64"/>
    </row>
    <row r="721">
      <c r="J721" s="64"/>
    </row>
    <row r="722">
      <c r="J722" s="64"/>
    </row>
    <row r="723">
      <c r="J723" s="64"/>
    </row>
    <row r="724">
      <c r="J724" s="64"/>
    </row>
    <row r="725">
      <c r="J725" s="64"/>
    </row>
    <row r="726">
      <c r="J726" s="64"/>
    </row>
    <row r="727">
      <c r="J727" s="64"/>
    </row>
    <row r="728">
      <c r="J728" s="64"/>
    </row>
    <row r="729">
      <c r="J729" s="64"/>
    </row>
    <row r="730">
      <c r="J730" s="64"/>
    </row>
    <row r="731">
      <c r="J731" s="64"/>
    </row>
    <row r="732">
      <c r="J732" s="64"/>
    </row>
    <row r="733">
      <c r="J733" s="64"/>
    </row>
    <row r="734">
      <c r="J734" s="64"/>
    </row>
    <row r="735">
      <c r="J735" s="64"/>
    </row>
    <row r="736">
      <c r="J736" s="64"/>
    </row>
    <row r="737">
      <c r="J737" s="64"/>
    </row>
    <row r="738">
      <c r="J738" s="64"/>
    </row>
    <row r="739">
      <c r="J739" s="64"/>
    </row>
    <row r="740">
      <c r="J740" s="64"/>
    </row>
    <row r="741">
      <c r="J741" s="64"/>
    </row>
    <row r="742">
      <c r="J742" s="64"/>
    </row>
    <row r="743">
      <c r="J743" s="64"/>
    </row>
    <row r="744">
      <c r="J744" s="64"/>
    </row>
    <row r="745">
      <c r="J745" s="64"/>
    </row>
    <row r="746">
      <c r="J746" s="64"/>
    </row>
    <row r="747">
      <c r="J747" s="64"/>
    </row>
    <row r="748">
      <c r="J748" s="64"/>
    </row>
    <row r="749">
      <c r="J749" s="64"/>
    </row>
    <row r="750">
      <c r="J750" s="64"/>
    </row>
    <row r="751">
      <c r="J751" s="64"/>
    </row>
    <row r="752">
      <c r="J752" s="64"/>
    </row>
    <row r="753">
      <c r="J753" s="64"/>
    </row>
    <row r="754">
      <c r="J754" s="64"/>
    </row>
    <row r="755">
      <c r="J755" s="64"/>
    </row>
    <row r="756">
      <c r="J756" s="64"/>
    </row>
    <row r="757">
      <c r="J757" s="64"/>
    </row>
    <row r="758">
      <c r="J758" s="64"/>
    </row>
    <row r="759">
      <c r="J759" s="64"/>
    </row>
    <row r="760">
      <c r="J760" s="64"/>
    </row>
    <row r="761">
      <c r="J761" s="64"/>
    </row>
    <row r="762">
      <c r="J762" s="64"/>
    </row>
    <row r="763">
      <c r="J763" s="64"/>
    </row>
    <row r="764">
      <c r="J764" s="64"/>
    </row>
    <row r="765">
      <c r="J765" s="64"/>
    </row>
    <row r="766">
      <c r="J766" s="64"/>
    </row>
    <row r="767">
      <c r="J767" s="64"/>
    </row>
    <row r="768">
      <c r="J768" s="64"/>
    </row>
    <row r="769">
      <c r="J769" s="64"/>
    </row>
    <row r="770">
      <c r="J770" s="64"/>
    </row>
    <row r="771">
      <c r="J771" s="64"/>
    </row>
    <row r="772">
      <c r="J772" s="64"/>
    </row>
    <row r="773">
      <c r="J773" s="64"/>
    </row>
    <row r="774">
      <c r="J774" s="64"/>
    </row>
    <row r="775">
      <c r="J775" s="64"/>
    </row>
    <row r="776">
      <c r="J776" s="64"/>
    </row>
    <row r="777">
      <c r="J777" s="64"/>
    </row>
    <row r="778">
      <c r="J778" s="64"/>
    </row>
    <row r="779">
      <c r="J779" s="64"/>
    </row>
    <row r="780">
      <c r="J780" s="64"/>
    </row>
    <row r="781">
      <c r="J781" s="64"/>
    </row>
    <row r="782">
      <c r="J782" s="64"/>
    </row>
    <row r="783">
      <c r="J783" s="64"/>
    </row>
    <row r="784">
      <c r="J784" s="64"/>
    </row>
    <row r="785">
      <c r="J785" s="64"/>
    </row>
    <row r="786">
      <c r="J786" s="64"/>
    </row>
    <row r="787">
      <c r="J787" s="64"/>
    </row>
    <row r="788">
      <c r="J788" s="64"/>
    </row>
    <row r="789">
      <c r="J789" s="64"/>
    </row>
    <row r="790">
      <c r="J790" s="64"/>
    </row>
    <row r="791">
      <c r="J791" s="64"/>
    </row>
    <row r="792">
      <c r="J792" s="64"/>
    </row>
    <row r="793">
      <c r="J793" s="64"/>
    </row>
    <row r="794">
      <c r="J794" s="64"/>
    </row>
    <row r="795">
      <c r="J795" s="64"/>
    </row>
    <row r="796">
      <c r="J796" s="64"/>
    </row>
    <row r="797">
      <c r="J797" s="64"/>
    </row>
    <row r="798">
      <c r="J798" s="64"/>
    </row>
    <row r="799">
      <c r="J799" s="64"/>
    </row>
    <row r="800">
      <c r="J800" s="64"/>
    </row>
    <row r="801">
      <c r="J801" s="64"/>
    </row>
    <row r="802">
      <c r="J802" s="64"/>
    </row>
    <row r="803">
      <c r="J803" s="64"/>
    </row>
    <row r="804">
      <c r="J804" s="64"/>
    </row>
    <row r="805">
      <c r="J805" s="64"/>
    </row>
    <row r="806">
      <c r="J806" s="64"/>
    </row>
    <row r="807">
      <c r="J807" s="64"/>
    </row>
    <row r="808">
      <c r="J808" s="64"/>
    </row>
    <row r="809">
      <c r="J809" s="64"/>
    </row>
    <row r="810">
      <c r="J810" s="64"/>
    </row>
    <row r="811">
      <c r="J811" s="64"/>
    </row>
    <row r="812">
      <c r="J812" s="64"/>
    </row>
    <row r="813">
      <c r="J813" s="64"/>
    </row>
    <row r="814">
      <c r="J814" s="64"/>
    </row>
    <row r="815">
      <c r="J815" s="64"/>
    </row>
    <row r="816">
      <c r="J816" s="64"/>
    </row>
    <row r="817">
      <c r="J817" s="64"/>
    </row>
    <row r="818">
      <c r="J818" s="64"/>
    </row>
    <row r="819">
      <c r="J819" s="64"/>
    </row>
    <row r="820">
      <c r="J820" s="64"/>
    </row>
    <row r="821">
      <c r="J821" s="64"/>
    </row>
    <row r="822">
      <c r="J822" s="64"/>
    </row>
    <row r="823">
      <c r="J823" s="64"/>
    </row>
    <row r="824">
      <c r="J824" s="64"/>
    </row>
    <row r="825">
      <c r="J825" s="64"/>
    </row>
    <row r="826">
      <c r="J826" s="64"/>
    </row>
    <row r="827">
      <c r="J827" s="64"/>
    </row>
    <row r="828">
      <c r="J828" s="64"/>
    </row>
    <row r="829">
      <c r="J829" s="64"/>
    </row>
    <row r="830">
      <c r="J830" s="64"/>
    </row>
    <row r="831">
      <c r="J831" s="64"/>
    </row>
    <row r="832">
      <c r="J832" s="64"/>
    </row>
    <row r="833">
      <c r="J833" s="64"/>
    </row>
    <row r="834">
      <c r="J834" s="64"/>
    </row>
    <row r="835">
      <c r="J835" s="64"/>
    </row>
    <row r="836">
      <c r="J836" s="64"/>
    </row>
    <row r="837">
      <c r="J837" s="64"/>
    </row>
    <row r="838">
      <c r="J838" s="64"/>
    </row>
    <row r="839">
      <c r="J839" s="64"/>
    </row>
    <row r="840">
      <c r="J840" s="64"/>
    </row>
    <row r="841">
      <c r="J841" s="64"/>
    </row>
    <row r="842">
      <c r="J842" s="64"/>
    </row>
    <row r="843">
      <c r="J843" s="64"/>
    </row>
    <row r="844">
      <c r="J844" s="64"/>
    </row>
    <row r="845">
      <c r="J845" s="64"/>
    </row>
    <row r="846">
      <c r="J846" s="64"/>
    </row>
    <row r="847">
      <c r="J847" s="64"/>
    </row>
    <row r="848">
      <c r="J848" s="64"/>
    </row>
    <row r="849">
      <c r="J849" s="64"/>
    </row>
    <row r="850">
      <c r="J850" s="64"/>
    </row>
    <row r="851">
      <c r="J851" s="64"/>
    </row>
    <row r="852">
      <c r="J852" s="64"/>
    </row>
    <row r="853">
      <c r="J853" s="64"/>
    </row>
    <row r="854">
      <c r="J854" s="64"/>
    </row>
    <row r="855">
      <c r="J855" s="64"/>
    </row>
    <row r="856">
      <c r="J856" s="64"/>
    </row>
    <row r="857">
      <c r="J857" s="64"/>
    </row>
    <row r="858">
      <c r="J858" s="64"/>
    </row>
    <row r="859">
      <c r="J859" s="64"/>
    </row>
    <row r="860">
      <c r="J860" s="64"/>
    </row>
    <row r="861">
      <c r="J861" s="64"/>
    </row>
    <row r="862">
      <c r="J862" s="64"/>
    </row>
    <row r="863">
      <c r="J863" s="64"/>
    </row>
    <row r="864">
      <c r="J864" s="64"/>
    </row>
    <row r="865">
      <c r="J865" s="64"/>
    </row>
    <row r="866">
      <c r="J866" s="64"/>
    </row>
    <row r="867">
      <c r="J867" s="64"/>
    </row>
    <row r="868">
      <c r="J868" s="64"/>
    </row>
    <row r="869">
      <c r="J869" s="64"/>
    </row>
    <row r="870">
      <c r="J870" s="64"/>
    </row>
    <row r="871">
      <c r="J871" s="64"/>
    </row>
    <row r="872">
      <c r="J872" s="64"/>
    </row>
    <row r="873">
      <c r="J873" s="64"/>
    </row>
    <row r="874">
      <c r="J874" s="64"/>
    </row>
    <row r="875">
      <c r="J875" s="64"/>
    </row>
    <row r="876">
      <c r="J876" s="64"/>
    </row>
    <row r="877">
      <c r="J877" s="64"/>
    </row>
    <row r="878">
      <c r="J878" s="64"/>
    </row>
    <row r="879">
      <c r="J879" s="64"/>
    </row>
    <row r="880">
      <c r="J880" s="64"/>
    </row>
    <row r="881">
      <c r="J881" s="64"/>
    </row>
    <row r="882">
      <c r="J882" s="64"/>
    </row>
    <row r="883">
      <c r="J883" s="64"/>
    </row>
    <row r="884">
      <c r="J884" s="64"/>
    </row>
    <row r="885">
      <c r="J885" s="64"/>
    </row>
    <row r="886">
      <c r="J886" s="64"/>
    </row>
    <row r="887">
      <c r="J887" s="64"/>
    </row>
    <row r="888">
      <c r="J888" s="64"/>
    </row>
    <row r="889">
      <c r="J889" s="64"/>
    </row>
    <row r="890">
      <c r="J890" s="64"/>
    </row>
    <row r="891">
      <c r="J891" s="64"/>
    </row>
    <row r="892">
      <c r="J892" s="64"/>
    </row>
    <row r="893">
      <c r="J893" s="64"/>
    </row>
    <row r="894">
      <c r="J894" s="64"/>
    </row>
    <row r="895">
      <c r="J895" s="64"/>
    </row>
    <row r="896">
      <c r="J896" s="64"/>
    </row>
    <row r="897">
      <c r="J897" s="64"/>
    </row>
    <row r="898">
      <c r="J898" s="64"/>
    </row>
    <row r="899">
      <c r="J899" s="64"/>
    </row>
    <row r="900">
      <c r="J900" s="64"/>
    </row>
    <row r="901">
      <c r="J901" s="64"/>
    </row>
    <row r="902">
      <c r="J902" s="64"/>
    </row>
    <row r="903">
      <c r="J903" s="64"/>
    </row>
    <row r="904">
      <c r="J904" s="64"/>
    </row>
    <row r="905">
      <c r="J905" s="64"/>
    </row>
    <row r="906">
      <c r="J906" s="64"/>
    </row>
    <row r="907">
      <c r="J907" s="64"/>
    </row>
    <row r="908">
      <c r="J908" s="64"/>
    </row>
    <row r="909">
      <c r="J909" s="64"/>
    </row>
    <row r="910">
      <c r="J910" s="64"/>
    </row>
    <row r="911">
      <c r="J911" s="64"/>
    </row>
    <row r="912">
      <c r="J912" s="64"/>
    </row>
    <row r="913">
      <c r="J913" s="64"/>
    </row>
    <row r="914">
      <c r="J914" s="64"/>
    </row>
    <row r="915">
      <c r="J915" s="64"/>
    </row>
    <row r="916">
      <c r="J916" s="64"/>
    </row>
    <row r="917">
      <c r="J917" s="64"/>
    </row>
    <row r="918">
      <c r="J918" s="64"/>
    </row>
    <row r="919">
      <c r="J919" s="64"/>
    </row>
    <row r="920">
      <c r="J920" s="64"/>
    </row>
    <row r="921">
      <c r="J921" s="64"/>
    </row>
    <row r="922">
      <c r="J922" s="64"/>
    </row>
    <row r="923">
      <c r="J923" s="64"/>
    </row>
    <row r="924">
      <c r="J924" s="64"/>
    </row>
    <row r="925">
      <c r="J925" s="64"/>
    </row>
    <row r="926">
      <c r="J926" s="64"/>
    </row>
    <row r="927">
      <c r="J927" s="64"/>
    </row>
    <row r="928">
      <c r="J928" s="64"/>
    </row>
    <row r="929">
      <c r="J929" s="64"/>
    </row>
    <row r="930">
      <c r="J930" s="64"/>
    </row>
    <row r="931">
      <c r="J931" s="64"/>
    </row>
    <row r="932">
      <c r="J932" s="64"/>
    </row>
    <row r="933">
      <c r="J933" s="64"/>
    </row>
    <row r="934">
      <c r="J934" s="64"/>
    </row>
    <row r="935">
      <c r="J935" s="64"/>
    </row>
    <row r="936">
      <c r="J936" s="64"/>
    </row>
    <row r="937">
      <c r="J937" s="64"/>
    </row>
    <row r="938">
      <c r="J938" s="64"/>
    </row>
    <row r="939">
      <c r="J939" s="64"/>
    </row>
    <row r="940">
      <c r="J940" s="64"/>
    </row>
    <row r="941">
      <c r="J941" s="64"/>
    </row>
    <row r="942">
      <c r="J942" s="64"/>
    </row>
    <row r="943">
      <c r="J943" s="64"/>
    </row>
    <row r="944">
      <c r="J944" s="64"/>
    </row>
    <row r="945">
      <c r="J945" s="64"/>
    </row>
    <row r="946">
      <c r="J946" s="64"/>
    </row>
    <row r="947">
      <c r="J947" s="64"/>
    </row>
    <row r="948">
      <c r="J948" s="64"/>
    </row>
    <row r="949">
      <c r="J949" s="64"/>
    </row>
    <row r="950">
      <c r="J950" s="64"/>
    </row>
    <row r="951">
      <c r="J951" s="64"/>
    </row>
    <row r="952">
      <c r="J952" s="64"/>
    </row>
    <row r="953">
      <c r="J953" s="64"/>
    </row>
    <row r="954">
      <c r="J954" s="64"/>
    </row>
    <row r="955">
      <c r="J955" s="64"/>
    </row>
    <row r="956">
      <c r="J956" s="64"/>
    </row>
    <row r="957">
      <c r="J957" s="64"/>
    </row>
    <row r="958">
      <c r="J958" s="64"/>
    </row>
    <row r="959">
      <c r="J959" s="64"/>
    </row>
    <row r="960">
      <c r="J960" s="64"/>
    </row>
    <row r="961">
      <c r="J961" s="64"/>
    </row>
    <row r="962">
      <c r="J962" s="64"/>
    </row>
    <row r="963">
      <c r="J963" s="64"/>
    </row>
    <row r="964">
      <c r="J964" s="64"/>
    </row>
    <row r="965">
      <c r="J965" s="64"/>
    </row>
    <row r="966">
      <c r="J966" s="64"/>
    </row>
    <row r="967">
      <c r="J967" s="64"/>
    </row>
    <row r="968">
      <c r="J968" s="64"/>
    </row>
    <row r="969">
      <c r="J969" s="64"/>
    </row>
    <row r="970">
      <c r="J970" s="64"/>
    </row>
    <row r="971">
      <c r="J971" s="64"/>
    </row>
    <row r="972">
      <c r="J972" s="64"/>
    </row>
    <row r="973">
      <c r="J973" s="64"/>
    </row>
    <row r="974">
      <c r="J974" s="64"/>
    </row>
    <row r="975">
      <c r="J975" s="64"/>
    </row>
    <row r="976">
      <c r="J976" s="64"/>
    </row>
    <row r="977">
      <c r="J977" s="64"/>
    </row>
    <row r="978">
      <c r="J978" s="64"/>
    </row>
    <row r="979">
      <c r="J979" s="64"/>
    </row>
    <row r="980">
      <c r="J980" s="64"/>
    </row>
    <row r="981">
      <c r="J981" s="64"/>
    </row>
    <row r="982">
      <c r="J982" s="64"/>
    </row>
    <row r="983">
      <c r="J983" s="64"/>
    </row>
    <row r="984">
      <c r="J984" s="64"/>
    </row>
    <row r="985">
      <c r="J985" s="64"/>
    </row>
    <row r="986">
      <c r="J986" s="64"/>
    </row>
    <row r="987">
      <c r="J987" s="64"/>
    </row>
    <row r="988">
      <c r="J988" s="64"/>
    </row>
    <row r="989">
      <c r="J989" s="64"/>
    </row>
    <row r="990">
      <c r="J990" s="64"/>
    </row>
    <row r="991">
      <c r="J991" s="64"/>
    </row>
    <row r="992">
      <c r="J992" s="64"/>
    </row>
    <row r="993">
      <c r="J993" s="64"/>
    </row>
    <row r="994">
      <c r="J994" s="64"/>
    </row>
    <row r="995">
      <c r="J995" s="64"/>
    </row>
    <row r="996">
      <c r="J996" s="64"/>
    </row>
    <row r="997">
      <c r="J997" s="64"/>
    </row>
    <row r="998">
      <c r="J998" s="64"/>
    </row>
    <row r="999">
      <c r="J999" s="64"/>
    </row>
    <row r="1000">
      <c r="J1000" s="64"/>
    </row>
  </sheetData>
  <conditionalFormatting sqref="E1 F5">
    <cfRule type="cellIs" dxfId="0" priority="1" operator="lessThan">
      <formula>3</formula>
    </cfRule>
  </conditionalFormatting>
  <conditionalFormatting sqref="E1 F5">
    <cfRule type="cellIs" dxfId="1" priority="2" operator="lessThan">
      <formula>7</formula>
    </cfRule>
  </conditionalFormatting>
  <dataValidations>
    <dataValidation type="list" allowBlank="1" showErrorMessage="1" sqref="D2:D68">
      <formula1>"Limited,Punopravni,Premium"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18.13"/>
    <col customWidth="1" min="2" max="2" width="34.88"/>
    <col customWidth="1" min="3" max="6" width="19.38"/>
    <col customWidth="1" min="7" max="7" width="25.0"/>
    <col customWidth="1" min="8" max="8" width="18.0"/>
    <col customWidth="1" min="9" max="9" width="15.25"/>
    <col customWidth="1" min="12" max="12" width="8.5"/>
    <col customWidth="1" min="15" max="15" width="8.25"/>
    <col customWidth="1" min="19" max="19" width="22.38"/>
    <col customWidth="1" min="20" max="20" width="14.75"/>
    <col customWidth="1" min="22" max="22" width="13.0"/>
  </cols>
  <sheetData>
    <row r="1">
      <c r="A1" s="1" t="s">
        <v>1184</v>
      </c>
      <c r="B1" s="2" t="s">
        <v>1185</v>
      </c>
      <c r="C1" s="68" t="s">
        <v>1186</v>
      </c>
      <c r="D1" s="68" t="s">
        <v>1187</v>
      </c>
      <c r="E1" s="68" t="s">
        <v>1188</v>
      </c>
      <c r="F1" s="68" t="s">
        <v>1189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1190</v>
      </c>
      <c r="L1" s="4" t="s">
        <v>8</v>
      </c>
      <c r="M1" s="2" t="s">
        <v>1191</v>
      </c>
      <c r="N1" s="5" t="s">
        <v>10</v>
      </c>
      <c r="O1" s="5" t="s">
        <v>11</v>
      </c>
      <c r="P1" s="6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1192</v>
      </c>
      <c r="V1" s="8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69"/>
      <c r="AD1" s="69"/>
      <c r="AE1" s="69"/>
      <c r="AF1" s="69"/>
      <c r="AG1" s="69"/>
      <c r="AH1" s="69"/>
      <c r="AI1" s="69"/>
    </row>
    <row r="2">
      <c r="A2" s="13"/>
      <c r="B2" s="9" t="s">
        <v>1193</v>
      </c>
      <c r="C2" s="70"/>
      <c r="D2" s="70"/>
      <c r="E2" s="70"/>
      <c r="F2" s="70"/>
      <c r="G2" s="29" t="s">
        <v>1194</v>
      </c>
      <c r="H2" s="11" t="s">
        <v>28</v>
      </c>
      <c r="I2" s="10">
        <f t="shared" ref="I2:I263" si="1">J2-TODAY()</f>
        <v>322</v>
      </c>
      <c r="J2" s="12">
        <v>46444.0</v>
      </c>
      <c r="K2" s="12">
        <v>46079.0</v>
      </c>
      <c r="L2" s="11" t="s">
        <v>86</v>
      </c>
      <c r="M2" s="11" t="s">
        <v>1195</v>
      </c>
      <c r="N2" s="11">
        <v>3.1632403E7</v>
      </c>
      <c r="O2" s="58" t="s">
        <v>1196</v>
      </c>
      <c r="P2" s="15" t="s">
        <v>1197</v>
      </c>
      <c r="Q2" s="26" t="s">
        <v>1198</v>
      </c>
      <c r="R2" s="26" t="s">
        <v>1199</v>
      </c>
      <c r="S2" s="26" t="s">
        <v>1200</v>
      </c>
      <c r="T2" s="26">
        <v>9.13389E8</v>
      </c>
      <c r="U2" s="26">
        <v>2.1408674689E10</v>
      </c>
      <c r="V2" s="52">
        <v>27921.0</v>
      </c>
      <c r="W2" s="11" t="s">
        <v>1201</v>
      </c>
      <c r="X2" s="11" t="s">
        <v>1199</v>
      </c>
      <c r="Y2" s="11" t="s">
        <v>1202</v>
      </c>
      <c r="Z2" s="11">
        <v>9.11118111E8</v>
      </c>
      <c r="AA2" s="11">
        <v>7.8583248025E10</v>
      </c>
      <c r="AB2" s="16">
        <v>29303.0</v>
      </c>
    </row>
    <row r="3">
      <c r="A3" s="13"/>
      <c r="B3" s="9" t="s">
        <v>1203</v>
      </c>
      <c r="C3" s="70"/>
      <c r="D3" s="70"/>
      <c r="E3" s="70"/>
      <c r="F3" s="70"/>
      <c r="G3" s="20" t="s">
        <v>1204</v>
      </c>
      <c r="H3" s="11" t="s">
        <v>28</v>
      </c>
      <c r="I3" s="10">
        <f t="shared" si="1"/>
        <v>284</v>
      </c>
      <c r="J3" s="12">
        <v>46406.0</v>
      </c>
      <c r="K3" s="12">
        <v>46041.0</v>
      </c>
      <c r="L3" s="11" t="s">
        <v>86</v>
      </c>
      <c r="M3" s="11" t="s">
        <v>1205</v>
      </c>
      <c r="N3" s="11">
        <v>8005775.0</v>
      </c>
      <c r="O3" s="58" t="s">
        <v>1206</v>
      </c>
      <c r="P3" s="15" t="s">
        <v>1207</v>
      </c>
      <c r="Q3" s="26" t="s">
        <v>204</v>
      </c>
      <c r="R3" s="26" t="s">
        <v>1208</v>
      </c>
      <c r="S3" s="26" t="s">
        <v>1209</v>
      </c>
      <c r="T3" s="26">
        <v>9.12033121E8</v>
      </c>
      <c r="U3" s="26">
        <v>1.4446082019E10</v>
      </c>
      <c r="V3" s="52">
        <v>34071.0</v>
      </c>
    </row>
    <row r="4">
      <c r="A4" s="13"/>
      <c r="B4" s="9" t="s">
        <v>1210</v>
      </c>
      <c r="C4" s="70"/>
      <c r="D4" s="70"/>
      <c r="E4" s="70"/>
      <c r="F4" s="70"/>
      <c r="G4" s="20" t="s">
        <v>1211</v>
      </c>
      <c r="H4" s="11" t="s">
        <v>28</v>
      </c>
      <c r="I4" s="10">
        <f t="shared" si="1"/>
        <v>280</v>
      </c>
      <c r="J4" s="12">
        <v>46402.0</v>
      </c>
      <c r="K4" s="12">
        <v>46037.0</v>
      </c>
      <c r="L4" s="11" t="s">
        <v>86</v>
      </c>
      <c r="M4" s="11" t="s">
        <v>1212</v>
      </c>
      <c r="N4" s="11">
        <v>3.8515550666E10</v>
      </c>
      <c r="O4" s="58" t="s">
        <v>1213</v>
      </c>
      <c r="P4" s="15" t="s">
        <v>1214</v>
      </c>
      <c r="Q4" s="26" t="s">
        <v>177</v>
      </c>
      <c r="R4" s="26" t="s">
        <v>1215</v>
      </c>
      <c r="S4" s="26" t="s">
        <v>1216</v>
      </c>
      <c r="T4" s="26"/>
      <c r="U4" s="26">
        <v>3.1980275857E10</v>
      </c>
      <c r="V4" s="52">
        <v>34159.0</v>
      </c>
    </row>
    <row r="5">
      <c r="A5" s="13"/>
      <c r="B5" s="9" t="s">
        <v>1217</v>
      </c>
      <c r="C5" s="70"/>
      <c r="D5" s="70"/>
      <c r="E5" s="70"/>
      <c r="F5" s="70"/>
      <c r="G5" s="11" t="s">
        <v>1218</v>
      </c>
      <c r="H5" s="11" t="s">
        <v>69</v>
      </c>
      <c r="I5" s="10">
        <f t="shared" si="1"/>
        <v>270</v>
      </c>
      <c r="J5" s="12">
        <v>46392.0</v>
      </c>
      <c r="K5" s="12">
        <v>46027.0</v>
      </c>
      <c r="L5" s="11" t="s">
        <v>86</v>
      </c>
      <c r="M5" s="11" t="s">
        <v>1219</v>
      </c>
      <c r="N5" s="11">
        <v>9.13334555E8</v>
      </c>
      <c r="O5" s="58" t="s">
        <v>1220</v>
      </c>
      <c r="P5" s="15" t="s">
        <v>1221</v>
      </c>
      <c r="Q5" s="26" t="s">
        <v>373</v>
      </c>
      <c r="R5" s="26" t="s">
        <v>1222</v>
      </c>
      <c r="S5" s="26" t="s">
        <v>1219</v>
      </c>
      <c r="T5" s="26">
        <v>9.13334555E8</v>
      </c>
      <c r="U5" s="26">
        <v>9.3752381247E10</v>
      </c>
      <c r="V5" s="52">
        <v>31897.0</v>
      </c>
    </row>
    <row r="6">
      <c r="A6" s="13"/>
      <c r="B6" s="9" t="s">
        <v>1223</v>
      </c>
      <c r="C6" s="71" t="s">
        <v>1224</v>
      </c>
      <c r="D6" s="71" t="s">
        <v>1225</v>
      </c>
      <c r="E6" s="70"/>
      <c r="F6" s="70"/>
      <c r="G6" s="20" t="s">
        <v>1226</v>
      </c>
      <c r="H6" s="11" t="s">
        <v>28</v>
      </c>
      <c r="I6" s="10">
        <f t="shared" si="1"/>
        <v>256</v>
      </c>
      <c r="J6" s="12">
        <v>46378.0</v>
      </c>
      <c r="K6" s="12">
        <v>46013.0</v>
      </c>
      <c r="L6" s="11" t="s">
        <v>86</v>
      </c>
      <c r="M6" s="11" t="s">
        <v>1227</v>
      </c>
      <c r="N6" s="11">
        <v>9.96724716E8</v>
      </c>
      <c r="O6" s="58" t="s">
        <v>1228</v>
      </c>
      <c r="P6" s="15" t="s">
        <v>1229</v>
      </c>
      <c r="Q6" s="26" t="s">
        <v>1230</v>
      </c>
      <c r="R6" s="26" t="s">
        <v>1231</v>
      </c>
      <c r="S6" s="26" t="s">
        <v>1232</v>
      </c>
      <c r="T6" s="26">
        <v>9.96724716E8</v>
      </c>
      <c r="U6" s="26">
        <v>6.6688806219E10</v>
      </c>
      <c r="V6" s="52">
        <v>33345.0</v>
      </c>
    </row>
    <row r="7">
      <c r="A7" s="9" t="s">
        <v>1233</v>
      </c>
      <c r="B7" s="9" t="s">
        <v>1234</v>
      </c>
      <c r="C7" s="71" t="s">
        <v>1235</v>
      </c>
      <c r="D7" s="71" t="s">
        <v>1225</v>
      </c>
      <c r="E7" s="70"/>
      <c r="F7" s="70"/>
      <c r="G7" s="20" t="s">
        <v>1236</v>
      </c>
      <c r="H7" s="11" t="s">
        <v>28</v>
      </c>
      <c r="I7" s="10">
        <f t="shared" si="1"/>
        <v>217</v>
      </c>
      <c r="J7" s="12">
        <v>46339.0</v>
      </c>
      <c r="K7" s="12">
        <v>45974.0</v>
      </c>
      <c r="L7" s="11" t="s">
        <v>86</v>
      </c>
      <c r="M7" s="11" t="s">
        <v>1237</v>
      </c>
      <c r="N7" s="11">
        <v>4.20736755003E11</v>
      </c>
      <c r="O7" s="58" t="s">
        <v>1238</v>
      </c>
      <c r="P7" s="15" t="s">
        <v>1239</v>
      </c>
      <c r="Q7" s="26" t="s">
        <v>1128</v>
      </c>
      <c r="R7" s="26" t="s">
        <v>1240</v>
      </c>
      <c r="S7" s="26" t="s">
        <v>1241</v>
      </c>
      <c r="T7" s="26">
        <v>4.20736755003E11</v>
      </c>
      <c r="U7" s="26" t="s">
        <v>1238</v>
      </c>
      <c r="V7" s="52">
        <v>31945.0</v>
      </c>
      <c r="W7" s="11" t="s">
        <v>1242</v>
      </c>
      <c r="X7" s="11" t="s">
        <v>1243</v>
      </c>
      <c r="Y7" s="11" t="s">
        <v>1244</v>
      </c>
    </row>
    <row r="8">
      <c r="A8" s="13"/>
      <c r="B8" s="9" t="s">
        <v>1245</v>
      </c>
      <c r="C8" s="71" t="s">
        <v>1246</v>
      </c>
      <c r="D8" s="71" t="s">
        <v>1225</v>
      </c>
      <c r="E8" s="70"/>
      <c r="F8" s="71" t="s">
        <v>1247</v>
      </c>
      <c r="G8" s="20" t="s">
        <v>1248</v>
      </c>
      <c r="H8" s="11" t="s">
        <v>28</v>
      </c>
      <c r="I8" s="10">
        <f t="shared" si="1"/>
        <v>211</v>
      </c>
      <c r="J8" s="12">
        <v>46333.0</v>
      </c>
      <c r="K8" s="12">
        <v>45968.0</v>
      </c>
      <c r="L8" s="11" t="s">
        <v>86</v>
      </c>
      <c r="M8" s="11" t="s">
        <v>1249</v>
      </c>
      <c r="N8" s="11" t="s">
        <v>1250</v>
      </c>
      <c r="O8" s="58" t="s">
        <v>1251</v>
      </c>
      <c r="P8" s="15" t="s">
        <v>1252</v>
      </c>
      <c r="Q8" s="26" t="s">
        <v>1253</v>
      </c>
      <c r="R8" s="26" t="s">
        <v>1254</v>
      </c>
      <c r="S8" s="26" t="s">
        <v>1255</v>
      </c>
      <c r="T8" s="26" t="s">
        <v>1256</v>
      </c>
      <c r="U8" s="26">
        <v>8.32274474E10</v>
      </c>
      <c r="V8" s="52">
        <v>30356.0</v>
      </c>
    </row>
    <row r="9">
      <c r="A9" s="13"/>
      <c r="B9" s="9" t="s">
        <v>1257</v>
      </c>
      <c r="C9" s="71" t="s">
        <v>1246</v>
      </c>
      <c r="D9" s="71" t="s">
        <v>1225</v>
      </c>
      <c r="E9" s="70"/>
      <c r="F9" s="71" t="s">
        <v>1247</v>
      </c>
      <c r="G9" s="20" t="s">
        <v>1258</v>
      </c>
      <c r="H9" s="11" t="s">
        <v>28</v>
      </c>
      <c r="I9" s="10">
        <f t="shared" si="1"/>
        <v>182</v>
      </c>
      <c r="J9" s="12">
        <v>46304.0</v>
      </c>
      <c r="K9" s="12">
        <v>45939.0</v>
      </c>
      <c r="L9" s="11" t="s">
        <v>86</v>
      </c>
      <c r="M9" s="11" t="s">
        <v>1259</v>
      </c>
      <c r="N9" s="11">
        <v>9.95309662E8</v>
      </c>
      <c r="O9" s="58" t="s">
        <v>1260</v>
      </c>
      <c r="P9" s="15" t="s">
        <v>1261</v>
      </c>
      <c r="Q9" s="26" t="s">
        <v>1262</v>
      </c>
      <c r="R9" s="26" t="s">
        <v>1263</v>
      </c>
      <c r="S9" s="26" t="s">
        <v>1264</v>
      </c>
      <c r="T9" s="26">
        <v>9.95309663E8</v>
      </c>
      <c r="U9" s="26">
        <v>5.519927193E9</v>
      </c>
      <c r="V9" s="52">
        <v>29084.0</v>
      </c>
    </row>
    <row r="10">
      <c r="A10" s="32" t="s">
        <v>1265</v>
      </c>
      <c r="B10" s="32" t="s">
        <v>1266</v>
      </c>
      <c r="C10" s="72" t="s">
        <v>1246</v>
      </c>
      <c r="D10" s="71" t="s">
        <v>1225</v>
      </c>
      <c r="E10" s="73"/>
      <c r="F10" s="72" t="s">
        <v>1247</v>
      </c>
      <c r="G10" s="54" t="s">
        <v>1267</v>
      </c>
      <c r="H10" s="32" t="s">
        <v>28</v>
      </c>
      <c r="I10" s="34">
        <f t="shared" si="1"/>
        <v>179</v>
      </c>
      <c r="J10" s="57">
        <v>46301.0</v>
      </c>
      <c r="K10" s="57">
        <v>45936.0</v>
      </c>
      <c r="L10" s="32" t="s">
        <v>86</v>
      </c>
      <c r="M10" s="32" t="s">
        <v>1268</v>
      </c>
      <c r="N10" s="32">
        <v>9.12892248E8</v>
      </c>
      <c r="O10" s="74" t="s">
        <v>1269</v>
      </c>
      <c r="P10" s="28" t="s">
        <v>1270</v>
      </c>
      <c r="Q10" s="75" t="s">
        <v>1271</v>
      </c>
      <c r="R10" s="75" t="s">
        <v>1272</v>
      </c>
      <c r="S10" s="75" t="s">
        <v>1273</v>
      </c>
      <c r="T10" s="75">
        <v>9.11708634E8</v>
      </c>
      <c r="U10" s="75">
        <v>4.470788352E9</v>
      </c>
      <c r="V10" s="76">
        <v>35913.0</v>
      </c>
      <c r="W10" s="32" t="s">
        <v>1262</v>
      </c>
      <c r="X10" s="32" t="s">
        <v>1272</v>
      </c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13"/>
      <c r="B11" s="9" t="s">
        <v>1274</v>
      </c>
      <c r="C11" s="71" t="s">
        <v>1235</v>
      </c>
      <c r="D11" s="71" t="s">
        <v>1225</v>
      </c>
      <c r="E11" s="70"/>
      <c r="F11" s="70"/>
      <c r="G11" s="20" t="s">
        <v>1275</v>
      </c>
      <c r="H11" s="11" t="s">
        <v>28</v>
      </c>
      <c r="I11" s="10">
        <f t="shared" si="1"/>
        <v>176</v>
      </c>
      <c r="J11" s="12">
        <v>46298.0</v>
      </c>
      <c r="K11" s="12">
        <v>45933.0</v>
      </c>
      <c r="L11" s="11" t="s">
        <v>86</v>
      </c>
      <c r="M11" s="11" t="s">
        <v>1276</v>
      </c>
      <c r="N11" s="11">
        <v>9.81838853E8</v>
      </c>
      <c r="O11" s="58" t="s">
        <v>1277</v>
      </c>
      <c r="P11" s="15" t="s">
        <v>1278</v>
      </c>
      <c r="Q11" s="26" t="s">
        <v>34</v>
      </c>
      <c r="R11" s="26" t="s">
        <v>1279</v>
      </c>
      <c r="S11" s="26" t="s">
        <v>1276</v>
      </c>
      <c r="T11" s="26">
        <v>9.81838853E8</v>
      </c>
      <c r="U11" s="26">
        <v>8.6043846107E10</v>
      </c>
      <c r="V11" s="77">
        <v>28307.0</v>
      </c>
      <c r="W11" s="11" t="s">
        <v>1280</v>
      </c>
      <c r="X11" s="11" t="s">
        <v>1279</v>
      </c>
      <c r="Y11" s="11" t="s">
        <v>1281</v>
      </c>
      <c r="Z11" s="11">
        <v>9.8396346E7</v>
      </c>
      <c r="AA11" s="11">
        <v>9.7490197277E10</v>
      </c>
      <c r="AB11" s="16">
        <v>27799.0</v>
      </c>
    </row>
    <row r="12">
      <c r="A12" s="13"/>
      <c r="B12" s="9" t="s">
        <v>1282</v>
      </c>
      <c r="C12" s="71" t="s">
        <v>1246</v>
      </c>
      <c r="D12" s="71" t="s">
        <v>1225</v>
      </c>
      <c r="E12" s="70"/>
      <c r="F12" s="71" t="s">
        <v>1247</v>
      </c>
      <c r="G12" s="20" t="s">
        <v>1283</v>
      </c>
      <c r="H12" s="11" t="s">
        <v>28</v>
      </c>
      <c r="I12" s="10">
        <f t="shared" si="1"/>
        <v>174</v>
      </c>
      <c r="J12" s="12">
        <v>46296.0</v>
      </c>
      <c r="K12" s="12">
        <v>45931.0</v>
      </c>
      <c r="L12" s="11" t="s">
        <v>86</v>
      </c>
      <c r="M12" s="11" t="s">
        <v>1284</v>
      </c>
      <c r="N12" s="11">
        <v>8000077.0</v>
      </c>
      <c r="O12" s="58" t="s">
        <v>1285</v>
      </c>
      <c r="P12" s="15" t="s">
        <v>1286</v>
      </c>
      <c r="Q12" s="26" t="s">
        <v>543</v>
      </c>
      <c r="R12" s="26" t="s">
        <v>1287</v>
      </c>
      <c r="S12" s="26" t="s">
        <v>1288</v>
      </c>
      <c r="T12" s="26">
        <v>9.16104244E8</v>
      </c>
      <c r="U12" s="26">
        <v>3.842246868E9</v>
      </c>
      <c r="V12" s="52">
        <v>30813.0</v>
      </c>
    </row>
    <row r="13">
      <c r="A13" s="13"/>
      <c r="B13" s="9" t="s">
        <v>1289</v>
      </c>
      <c r="C13" s="71" t="s">
        <v>1246</v>
      </c>
      <c r="D13" s="71" t="s">
        <v>1225</v>
      </c>
      <c r="E13" s="70"/>
      <c r="F13" s="71" t="s">
        <v>1247</v>
      </c>
      <c r="G13" s="20" t="s">
        <v>1290</v>
      </c>
      <c r="H13" s="11" t="s">
        <v>28</v>
      </c>
      <c r="I13" s="10">
        <f t="shared" si="1"/>
        <v>172</v>
      </c>
      <c r="J13" s="12">
        <v>46294.0</v>
      </c>
      <c r="K13" s="12">
        <v>45929.0</v>
      </c>
      <c r="L13" s="11" t="s">
        <v>86</v>
      </c>
      <c r="M13" s="11" t="s">
        <v>1291</v>
      </c>
      <c r="N13" s="11">
        <v>9.94497509E8</v>
      </c>
      <c r="O13" s="58" t="s">
        <v>1292</v>
      </c>
      <c r="P13" s="15" t="s">
        <v>1293</v>
      </c>
      <c r="Q13" s="26" t="s">
        <v>959</v>
      </c>
      <c r="R13" s="26" t="s">
        <v>1294</v>
      </c>
      <c r="S13" s="26" t="s">
        <v>1295</v>
      </c>
      <c r="T13" s="26">
        <v>1.6609403274E10</v>
      </c>
      <c r="U13" s="26">
        <v>1.6609403274E10</v>
      </c>
      <c r="V13" s="52">
        <v>31148.0</v>
      </c>
      <c r="W13" s="11" t="s">
        <v>1296</v>
      </c>
      <c r="X13" s="11" t="s">
        <v>1297</v>
      </c>
      <c r="Y13" s="11" t="s">
        <v>1298</v>
      </c>
      <c r="AA13" s="11">
        <v>2.8303328266E10</v>
      </c>
      <c r="AB13" s="16">
        <v>32956.0</v>
      </c>
    </row>
    <row r="14">
      <c r="A14" s="13"/>
      <c r="B14" s="9" t="s">
        <v>1299</v>
      </c>
      <c r="C14" s="71" t="s">
        <v>1300</v>
      </c>
      <c r="D14" s="71" t="s">
        <v>1225</v>
      </c>
      <c r="E14" s="70"/>
      <c r="F14" s="70"/>
      <c r="G14" s="20" t="s">
        <v>1301</v>
      </c>
      <c r="H14" s="11" t="s">
        <v>28</v>
      </c>
      <c r="I14" s="10">
        <f t="shared" si="1"/>
        <v>165</v>
      </c>
      <c r="J14" s="12">
        <v>46287.0</v>
      </c>
      <c r="K14" s="12">
        <v>45922.0</v>
      </c>
      <c r="L14" s="11" t="s">
        <v>86</v>
      </c>
      <c r="M14" s="11" t="s">
        <v>1302</v>
      </c>
      <c r="N14" s="11">
        <v>9.16130008E8</v>
      </c>
      <c r="O14" s="58" t="s">
        <v>1303</v>
      </c>
      <c r="P14" s="15" t="s">
        <v>1304</v>
      </c>
      <c r="Q14" s="26" t="s">
        <v>1305</v>
      </c>
      <c r="R14" s="26" t="s">
        <v>1306</v>
      </c>
      <c r="S14" s="26" t="s">
        <v>1307</v>
      </c>
      <c r="T14" s="26">
        <v>9.162044E8</v>
      </c>
      <c r="U14" s="26">
        <v>4.7702147649E10</v>
      </c>
      <c r="V14" s="52">
        <v>33006.0</v>
      </c>
      <c r="W14" s="11" t="s">
        <v>1308</v>
      </c>
      <c r="X14" s="11" t="s">
        <v>1309</v>
      </c>
    </row>
    <row r="15">
      <c r="A15" s="32" t="s">
        <v>1310</v>
      </c>
      <c r="B15" s="32" t="s">
        <v>1311</v>
      </c>
      <c r="C15" s="72" t="s">
        <v>1246</v>
      </c>
      <c r="D15" s="71" t="s">
        <v>1225</v>
      </c>
      <c r="E15" s="73"/>
      <c r="F15" s="72" t="s">
        <v>1247</v>
      </c>
      <c r="G15" s="54" t="s">
        <v>1312</v>
      </c>
      <c r="H15" s="32" t="s">
        <v>28</v>
      </c>
      <c r="I15" s="34">
        <f t="shared" si="1"/>
        <v>161</v>
      </c>
      <c r="J15" s="57">
        <v>46283.0</v>
      </c>
      <c r="K15" s="57">
        <v>45918.0</v>
      </c>
      <c r="L15" s="32" t="s">
        <v>86</v>
      </c>
      <c r="M15" s="32" t="s">
        <v>1313</v>
      </c>
      <c r="N15" s="32">
        <v>3.85989710308E11</v>
      </c>
      <c r="O15" s="74" t="s">
        <v>1314</v>
      </c>
      <c r="P15" s="28" t="s">
        <v>1315</v>
      </c>
      <c r="Q15" s="75" t="s">
        <v>340</v>
      </c>
      <c r="R15" s="75" t="s">
        <v>1316</v>
      </c>
      <c r="S15" s="75" t="s">
        <v>1317</v>
      </c>
      <c r="T15" s="75">
        <v>3.85989710308E11</v>
      </c>
      <c r="U15" s="75">
        <v>8.061523585E10</v>
      </c>
      <c r="V15" s="76">
        <v>34930.0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 t="s">
        <v>1318</v>
      </c>
      <c r="B16" s="32" t="s">
        <v>1311</v>
      </c>
      <c r="C16" s="72" t="s">
        <v>1246</v>
      </c>
      <c r="D16" s="71" t="s">
        <v>1225</v>
      </c>
      <c r="E16" s="73"/>
      <c r="F16" s="72" t="s">
        <v>1247</v>
      </c>
      <c r="G16" s="33" t="s">
        <v>1319</v>
      </c>
      <c r="H16" s="32" t="s">
        <v>28</v>
      </c>
      <c r="I16" s="34">
        <f t="shared" si="1"/>
        <v>161</v>
      </c>
      <c r="J16" s="57">
        <v>46283.0</v>
      </c>
      <c r="K16" s="57">
        <v>45918.0</v>
      </c>
      <c r="L16" s="32" t="s">
        <v>86</v>
      </c>
      <c r="M16" s="32" t="s">
        <v>1320</v>
      </c>
      <c r="N16" s="32">
        <v>3.85989710308E11</v>
      </c>
      <c r="O16" s="74" t="s">
        <v>1314</v>
      </c>
      <c r="P16" s="28" t="s">
        <v>1315</v>
      </c>
      <c r="Q16" s="75" t="s">
        <v>340</v>
      </c>
      <c r="R16" s="75" t="s">
        <v>1316</v>
      </c>
      <c r="S16" s="75" t="s">
        <v>1317</v>
      </c>
      <c r="T16" s="75">
        <v>3.85989710308E11</v>
      </c>
      <c r="U16" s="75">
        <v>8.061523585E10</v>
      </c>
      <c r="V16" s="76">
        <v>34930.0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13"/>
      <c r="B17" s="9" t="s">
        <v>1321</v>
      </c>
      <c r="C17" s="71" t="s">
        <v>1246</v>
      </c>
      <c r="D17" s="71" t="s">
        <v>1225</v>
      </c>
      <c r="E17" s="70"/>
      <c r="F17" s="71" t="s">
        <v>1247</v>
      </c>
      <c r="G17" s="20" t="s">
        <v>1322</v>
      </c>
      <c r="H17" s="11" t="s">
        <v>28</v>
      </c>
      <c r="I17" s="10">
        <f t="shared" si="1"/>
        <v>147</v>
      </c>
      <c r="J17" s="12">
        <v>46269.0</v>
      </c>
      <c r="K17" s="12">
        <v>45904.0</v>
      </c>
      <c r="L17" s="11" t="s">
        <v>86</v>
      </c>
      <c r="M17" s="11" t="s">
        <v>1323</v>
      </c>
      <c r="N17" s="11" t="s">
        <v>1324</v>
      </c>
      <c r="O17" s="58" t="s">
        <v>1325</v>
      </c>
      <c r="P17" s="15" t="s">
        <v>1326</v>
      </c>
      <c r="Q17" s="26" t="s">
        <v>1327</v>
      </c>
      <c r="R17" s="26" t="s">
        <v>1328</v>
      </c>
      <c r="S17" s="26" t="s">
        <v>1329</v>
      </c>
      <c r="T17" s="26" t="s">
        <v>1330</v>
      </c>
      <c r="U17" s="26">
        <v>9.2838178961E10</v>
      </c>
      <c r="V17" s="52">
        <v>34894.0</v>
      </c>
    </row>
    <row r="18">
      <c r="A18" s="13"/>
      <c r="B18" s="9" t="s">
        <v>1331</v>
      </c>
      <c r="C18" s="70"/>
      <c r="D18" s="70"/>
      <c r="E18" s="70"/>
      <c r="F18" s="70"/>
      <c r="G18" s="20" t="s">
        <v>1332</v>
      </c>
      <c r="H18" s="11" t="s">
        <v>28</v>
      </c>
      <c r="I18" s="10">
        <f t="shared" si="1"/>
        <v>144</v>
      </c>
      <c r="J18" s="12">
        <v>46266.0</v>
      </c>
      <c r="K18" s="12">
        <v>45901.0</v>
      </c>
      <c r="L18" s="11" t="s">
        <v>86</v>
      </c>
      <c r="M18" s="11" t="s">
        <v>1333</v>
      </c>
      <c r="N18" s="11">
        <v>8.651299247E9</v>
      </c>
      <c r="O18" s="58" t="s">
        <v>1334</v>
      </c>
      <c r="P18" s="15" t="s">
        <v>1335</v>
      </c>
      <c r="Q18" s="26" t="s">
        <v>1280</v>
      </c>
      <c r="R18" s="26" t="s">
        <v>1336</v>
      </c>
      <c r="S18" s="26" t="s">
        <v>1337</v>
      </c>
      <c r="T18" s="78"/>
      <c r="U18" s="78"/>
      <c r="V18" s="79"/>
    </row>
    <row r="19">
      <c r="A19" s="13"/>
      <c r="B19" s="9" t="s">
        <v>1338</v>
      </c>
      <c r="C19" s="71" t="s">
        <v>1246</v>
      </c>
      <c r="D19" s="71" t="s">
        <v>1225</v>
      </c>
      <c r="E19" s="70"/>
      <c r="F19" s="71" t="s">
        <v>1247</v>
      </c>
      <c r="G19" s="20" t="s">
        <v>1339</v>
      </c>
      <c r="H19" s="11" t="s">
        <v>69</v>
      </c>
      <c r="I19" s="10">
        <f t="shared" si="1"/>
        <v>138</v>
      </c>
      <c r="J19" s="12">
        <v>46260.0</v>
      </c>
      <c r="K19" s="12">
        <v>45895.0</v>
      </c>
      <c r="L19" s="11" t="s">
        <v>86</v>
      </c>
      <c r="M19" s="11" t="s">
        <v>1340</v>
      </c>
      <c r="N19" s="11" t="s">
        <v>1341</v>
      </c>
      <c r="O19" s="58" t="s">
        <v>1342</v>
      </c>
      <c r="P19" s="15" t="s">
        <v>1343</v>
      </c>
      <c r="Q19" s="26" t="s">
        <v>1344</v>
      </c>
      <c r="R19" s="26" t="s">
        <v>1345</v>
      </c>
      <c r="S19" s="26" t="s">
        <v>1346</v>
      </c>
      <c r="T19" s="26" t="s">
        <v>1341</v>
      </c>
      <c r="U19" s="26">
        <v>5.5335602714E10</v>
      </c>
      <c r="V19" s="52">
        <v>30924.0</v>
      </c>
    </row>
    <row r="20">
      <c r="A20" s="13"/>
      <c r="B20" s="9" t="s">
        <v>1347</v>
      </c>
      <c r="C20" s="71" t="s">
        <v>1300</v>
      </c>
      <c r="D20" s="71" t="s">
        <v>1225</v>
      </c>
      <c r="E20" s="70"/>
      <c r="F20" s="70"/>
      <c r="G20" s="20" t="s">
        <v>1348</v>
      </c>
      <c r="H20" s="11" t="s">
        <v>28</v>
      </c>
      <c r="I20" s="10">
        <f t="shared" si="1"/>
        <v>132</v>
      </c>
      <c r="J20" s="12">
        <v>46254.0</v>
      </c>
      <c r="K20" s="12">
        <v>45889.0</v>
      </c>
      <c r="L20" s="11" t="s">
        <v>86</v>
      </c>
      <c r="M20" s="11" t="s">
        <v>1349</v>
      </c>
      <c r="N20" s="11">
        <v>9.94473346E8</v>
      </c>
      <c r="O20" s="58" t="s">
        <v>1350</v>
      </c>
      <c r="P20" s="15" t="s">
        <v>1351</v>
      </c>
      <c r="Q20" s="26" t="s">
        <v>34</v>
      </c>
      <c r="R20" s="26" t="s">
        <v>1352</v>
      </c>
      <c r="S20" s="26" t="s">
        <v>1353</v>
      </c>
      <c r="T20" s="26">
        <v>9.94473346E8</v>
      </c>
      <c r="U20" s="26">
        <v>9.1300378805E10</v>
      </c>
      <c r="V20" s="52">
        <v>29632.0</v>
      </c>
    </row>
    <row r="21">
      <c r="A21" s="13"/>
      <c r="B21" s="9" t="s">
        <v>1354</v>
      </c>
      <c r="C21" s="71" t="s">
        <v>1300</v>
      </c>
      <c r="D21" s="71" t="s">
        <v>1225</v>
      </c>
      <c r="E21" s="70"/>
      <c r="F21" s="71" t="s">
        <v>1247</v>
      </c>
      <c r="G21" s="20" t="s">
        <v>1355</v>
      </c>
      <c r="H21" s="11" t="s">
        <v>28</v>
      </c>
      <c r="I21" s="10">
        <f t="shared" si="1"/>
        <v>132</v>
      </c>
      <c r="J21" s="12">
        <v>46254.0</v>
      </c>
      <c r="K21" s="12">
        <v>45889.0</v>
      </c>
      <c r="L21" s="11" t="s">
        <v>86</v>
      </c>
      <c r="M21" s="11" t="s">
        <v>1356</v>
      </c>
      <c r="N21" s="11">
        <v>9.15137169E8</v>
      </c>
      <c r="O21" s="58" t="s">
        <v>1357</v>
      </c>
      <c r="P21" s="15" t="s">
        <v>1358</v>
      </c>
      <c r="Q21" s="26" t="s">
        <v>1161</v>
      </c>
      <c r="R21" s="26" t="s">
        <v>1359</v>
      </c>
      <c r="S21" s="26" t="s">
        <v>1360</v>
      </c>
      <c r="T21" s="26">
        <v>9.15137169E8</v>
      </c>
      <c r="U21" s="26">
        <v>2.7100917121E10</v>
      </c>
      <c r="V21" s="52">
        <v>28498.0</v>
      </c>
    </row>
    <row r="22">
      <c r="A22" s="13"/>
      <c r="B22" s="9" t="s">
        <v>1361</v>
      </c>
      <c r="C22" s="71" t="s">
        <v>1235</v>
      </c>
      <c r="D22" s="71" t="s">
        <v>1225</v>
      </c>
      <c r="E22" s="70"/>
      <c r="F22" s="70"/>
      <c r="G22" s="20" t="s">
        <v>1362</v>
      </c>
      <c r="H22" s="11" t="s">
        <v>28</v>
      </c>
      <c r="I22" s="10">
        <f t="shared" si="1"/>
        <v>132</v>
      </c>
      <c r="J22" s="12">
        <v>46254.0</v>
      </c>
      <c r="K22" s="12">
        <v>45889.0</v>
      </c>
      <c r="L22" s="11" t="s">
        <v>86</v>
      </c>
      <c r="M22" s="11" t="s">
        <v>1363</v>
      </c>
      <c r="N22" s="11" t="s">
        <v>1364</v>
      </c>
      <c r="O22" s="58" t="s">
        <v>1365</v>
      </c>
      <c r="P22" s="15" t="s">
        <v>1366</v>
      </c>
      <c r="Q22" s="26" t="s">
        <v>1367</v>
      </c>
      <c r="R22" s="26" t="s">
        <v>1368</v>
      </c>
      <c r="S22" s="26" t="s">
        <v>1369</v>
      </c>
      <c r="T22" s="26">
        <v>9.15252044E8</v>
      </c>
      <c r="U22" s="26">
        <v>1.2005841432E10</v>
      </c>
      <c r="V22" s="52">
        <v>35599.0</v>
      </c>
    </row>
    <row r="23">
      <c r="A23" s="13"/>
      <c r="B23" s="80" t="s">
        <v>1370</v>
      </c>
      <c r="C23" s="81" t="s">
        <v>1224</v>
      </c>
      <c r="D23" s="71" t="s">
        <v>1225</v>
      </c>
      <c r="E23" s="82"/>
      <c r="F23" s="81" t="s">
        <v>1247</v>
      </c>
      <c r="G23" s="83" t="s">
        <v>1371</v>
      </c>
      <c r="H23" s="11" t="s">
        <v>28</v>
      </c>
      <c r="I23" s="10">
        <f t="shared" si="1"/>
        <v>69</v>
      </c>
      <c r="J23" s="12">
        <v>46191.0</v>
      </c>
      <c r="K23" s="12">
        <v>45826.0</v>
      </c>
      <c r="L23" s="11" t="s">
        <v>86</v>
      </c>
      <c r="M23" s="11" t="s">
        <v>1372</v>
      </c>
      <c r="O23" s="58" t="s">
        <v>1373</v>
      </c>
      <c r="P23" s="15" t="s">
        <v>1374</v>
      </c>
      <c r="Q23" s="26" t="s">
        <v>959</v>
      </c>
      <c r="R23" s="26" t="s">
        <v>1352</v>
      </c>
      <c r="S23" s="26" t="s">
        <v>1375</v>
      </c>
      <c r="T23" s="78"/>
      <c r="U23" s="78"/>
      <c r="V23" s="79"/>
    </row>
    <row r="24">
      <c r="A24" s="13"/>
      <c r="B24" s="9" t="s">
        <v>1376</v>
      </c>
      <c r="C24" s="71" t="s">
        <v>1224</v>
      </c>
      <c r="D24" s="71" t="s">
        <v>1225</v>
      </c>
      <c r="E24" s="70"/>
      <c r="F24" s="71" t="s">
        <v>1247</v>
      </c>
      <c r="G24" s="20" t="s">
        <v>1377</v>
      </c>
      <c r="H24" s="11" t="s">
        <v>28</v>
      </c>
      <c r="I24" s="10">
        <f t="shared" si="1"/>
        <v>63</v>
      </c>
      <c r="J24" s="12">
        <v>46185.0</v>
      </c>
      <c r="K24" s="12">
        <v>45820.0</v>
      </c>
      <c r="L24" s="11" t="s">
        <v>86</v>
      </c>
      <c r="M24" s="11" t="s">
        <v>1378</v>
      </c>
      <c r="N24" s="11">
        <v>9.12233581E8</v>
      </c>
      <c r="O24" s="58" t="s">
        <v>1379</v>
      </c>
      <c r="P24" s="15" t="s">
        <v>1380</v>
      </c>
      <c r="Q24" s="26" t="s">
        <v>1381</v>
      </c>
      <c r="R24" s="26" t="s">
        <v>1382</v>
      </c>
      <c r="S24" s="26" t="s">
        <v>1383</v>
      </c>
      <c r="T24" s="78"/>
      <c r="U24" s="26">
        <v>7.5972311177E10</v>
      </c>
      <c r="V24" s="52">
        <v>30823.0</v>
      </c>
      <c r="W24" s="11" t="s">
        <v>1384</v>
      </c>
      <c r="X24" s="11" t="s">
        <v>1385</v>
      </c>
    </row>
    <row r="25">
      <c r="A25" s="13"/>
      <c r="B25" s="9" t="s">
        <v>1386</v>
      </c>
      <c r="C25" s="71" t="s">
        <v>1246</v>
      </c>
      <c r="D25" s="71" t="s">
        <v>1225</v>
      </c>
      <c r="E25" s="71" t="s">
        <v>1247</v>
      </c>
      <c r="F25" s="71" t="s">
        <v>1247</v>
      </c>
      <c r="G25" s="20" t="s">
        <v>1387</v>
      </c>
      <c r="H25" s="11" t="s">
        <v>28</v>
      </c>
      <c r="I25" s="10">
        <f t="shared" si="1"/>
        <v>36</v>
      </c>
      <c r="J25" s="12">
        <v>46158.0</v>
      </c>
      <c r="K25" s="12">
        <v>45793.0</v>
      </c>
      <c r="L25" s="11" t="s">
        <v>86</v>
      </c>
      <c r="M25" s="11" t="s">
        <v>1388</v>
      </c>
      <c r="N25" s="11" t="s">
        <v>1389</v>
      </c>
      <c r="O25" s="58" t="s">
        <v>1390</v>
      </c>
      <c r="P25" s="15" t="s">
        <v>1391</v>
      </c>
      <c r="Q25" s="26" t="s">
        <v>373</v>
      </c>
      <c r="R25" s="26" t="s">
        <v>1392</v>
      </c>
      <c r="S25" s="26" t="s">
        <v>1388</v>
      </c>
      <c r="T25" s="26" t="s">
        <v>1389</v>
      </c>
      <c r="U25" s="26">
        <v>2.4738208951E10</v>
      </c>
      <c r="V25" s="52">
        <v>32680.0</v>
      </c>
    </row>
    <row r="26">
      <c r="A26" s="13"/>
      <c r="B26" s="9" t="s">
        <v>1393</v>
      </c>
      <c r="C26" s="71" t="s">
        <v>1246</v>
      </c>
      <c r="D26" s="71" t="s">
        <v>1225</v>
      </c>
      <c r="E26" s="70"/>
      <c r="F26" s="71" t="s">
        <v>1247</v>
      </c>
      <c r="G26" s="20" t="s">
        <v>1394</v>
      </c>
      <c r="H26" s="11" t="s">
        <v>28</v>
      </c>
      <c r="I26" s="10">
        <f t="shared" si="1"/>
        <v>33</v>
      </c>
      <c r="J26" s="12">
        <v>46155.0</v>
      </c>
      <c r="K26" s="12">
        <v>45790.0</v>
      </c>
      <c r="L26" s="11" t="s">
        <v>86</v>
      </c>
      <c r="M26" s="11" t="s">
        <v>1395</v>
      </c>
      <c r="N26" s="11">
        <v>9.12099444E8</v>
      </c>
      <c r="O26" s="58" t="s">
        <v>1396</v>
      </c>
      <c r="P26" s="15" t="s">
        <v>1397</v>
      </c>
      <c r="Q26" s="26" t="s">
        <v>147</v>
      </c>
      <c r="R26" s="26" t="s">
        <v>1398</v>
      </c>
      <c r="S26" s="26" t="s">
        <v>1395</v>
      </c>
      <c r="T26" s="26">
        <v>9.12099444E8</v>
      </c>
      <c r="U26" s="26">
        <v>9.0192165467E10</v>
      </c>
      <c r="V26" s="84">
        <v>26957.0</v>
      </c>
    </row>
    <row r="27">
      <c r="A27" s="13"/>
      <c r="B27" s="9" t="s">
        <v>1399</v>
      </c>
      <c r="C27" s="71"/>
      <c r="D27" s="71"/>
      <c r="E27" s="71" t="s">
        <v>1247</v>
      </c>
      <c r="F27" s="70"/>
      <c r="G27" s="11" t="s">
        <v>1400</v>
      </c>
      <c r="H27" s="11" t="s">
        <v>28</v>
      </c>
      <c r="I27" s="10">
        <f t="shared" si="1"/>
        <v>18</v>
      </c>
      <c r="J27" s="12">
        <v>46140.0</v>
      </c>
      <c r="K27" s="12">
        <v>45775.0</v>
      </c>
      <c r="L27" s="11" t="s">
        <v>86</v>
      </c>
      <c r="M27" s="11" t="s">
        <v>1401</v>
      </c>
      <c r="N27" s="11" t="s">
        <v>1402</v>
      </c>
      <c r="O27" s="58" t="s">
        <v>1403</v>
      </c>
      <c r="P27" s="15" t="s">
        <v>1404</v>
      </c>
      <c r="Q27" s="26" t="s">
        <v>1405</v>
      </c>
      <c r="R27" s="26" t="s">
        <v>1406</v>
      </c>
      <c r="S27" s="26" t="s">
        <v>1407</v>
      </c>
      <c r="T27" s="26">
        <v>9.12227555E8</v>
      </c>
      <c r="U27" s="26">
        <v>8.6077641897E10</v>
      </c>
      <c r="V27" s="52">
        <v>27546.0</v>
      </c>
    </row>
    <row r="28">
      <c r="A28" s="13"/>
      <c r="B28" s="9" t="s">
        <v>1408</v>
      </c>
      <c r="C28" s="71" t="s">
        <v>1246</v>
      </c>
      <c r="D28" s="71" t="s">
        <v>1225</v>
      </c>
      <c r="E28" s="71" t="s">
        <v>1247</v>
      </c>
      <c r="F28" s="71" t="s">
        <v>1247</v>
      </c>
      <c r="G28" s="20" t="s">
        <v>1409</v>
      </c>
      <c r="H28" s="11" t="s">
        <v>28</v>
      </c>
      <c r="I28" s="10">
        <f t="shared" si="1"/>
        <v>12</v>
      </c>
      <c r="J28" s="12">
        <v>46134.0</v>
      </c>
      <c r="K28" s="12">
        <v>45769.0</v>
      </c>
      <c r="L28" s="11" t="s">
        <v>86</v>
      </c>
      <c r="M28" s="11" t="s">
        <v>1410</v>
      </c>
      <c r="N28" s="11">
        <v>9.89335838E8</v>
      </c>
      <c r="O28" s="58" t="s">
        <v>1411</v>
      </c>
      <c r="P28" s="15" t="s">
        <v>1412</v>
      </c>
      <c r="Q28" s="26" t="s">
        <v>859</v>
      </c>
      <c r="R28" s="26" t="s">
        <v>1413</v>
      </c>
      <c r="S28" s="26" t="s">
        <v>1414</v>
      </c>
      <c r="T28" s="26">
        <v>9.89335838E8</v>
      </c>
      <c r="U28" s="26">
        <v>6.9496662579E10</v>
      </c>
      <c r="V28" s="52">
        <v>34195.0</v>
      </c>
    </row>
    <row r="29">
      <c r="A29" s="13"/>
      <c r="B29" s="9" t="s">
        <v>1415</v>
      </c>
      <c r="C29" s="71" t="s">
        <v>1246</v>
      </c>
      <c r="D29" s="71" t="s">
        <v>1225</v>
      </c>
      <c r="E29" s="71" t="s">
        <v>1247</v>
      </c>
      <c r="F29" s="70"/>
      <c r="G29" s="20" t="s">
        <v>1416</v>
      </c>
      <c r="H29" s="11" t="s">
        <v>28</v>
      </c>
      <c r="I29" s="10">
        <f t="shared" si="1"/>
        <v>12</v>
      </c>
      <c r="J29" s="12">
        <v>46134.0</v>
      </c>
      <c r="K29" s="12">
        <v>45769.0</v>
      </c>
      <c r="L29" s="11" t="s">
        <v>86</v>
      </c>
      <c r="M29" s="11" t="s">
        <v>1417</v>
      </c>
      <c r="N29" s="11">
        <v>9.8943673E8</v>
      </c>
      <c r="O29" s="58" t="s">
        <v>1418</v>
      </c>
      <c r="P29" s="15" t="s">
        <v>1419</v>
      </c>
      <c r="Q29" s="26" t="s">
        <v>340</v>
      </c>
      <c r="R29" s="26" t="s">
        <v>1420</v>
      </c>
      <c r="S29" s="26" t="s">
        <v>1421</v>
      </c>
      <c r="T29" s="26">
        <v>9.8943673E8</v>
      </c>
      <c r="U29" s="26">
        <v>2.23450477E8</v>
      </c>
      <c r="V29" s="84">
        <v>30643.0</v>
      </c>
    </row>
    <row r="30">
      <c r="A30" s="13"/>
      <c r="B30" s="9" t="s">
        <v>1422</v>
      </c>
      <c r="C30" s="71" t="s">
        <v>1246</v>
      </c>
      <c r="D30" s="71" t="s">
        <v>1225</v>
      </c>
      <c r="E30" s="71" t="s">
        <v>1247</v>
      </c>
      <c r="F30" s="70"/>
      <c r="G30" s="20" t="s">
        <v>1423</v>
      </c>
      <c r="H30" s="11" t="s">
        <v>28</v>
      </c>
      <c r="I30" s="10">
        <f t="shared" si="1"/>
        <v>4</v>
      </c>
      <c r="J30" s="12">
        <v>46126.0</v>
      </c>
      <c r="K30" s="12">
        <v>45761.0</v>
      </c>
      <c r="L30" s="11" t="s">
        <v>86</v>
      </c>
      <c r="M30" s="11" t="s">
        <v>1424</v>
      </c>
      <c r="N30" s="11">
        <v>3.8598427657E10</v>
      </c>
      <c r="O30" s="58" t="s">
        <v>1425</v>
      </c>
      <c r="P30" s="15" t="s">
        <v>1426</v>
      </c>
      <c r="Q30" s="26" t="s">
        <v>1427</v>
      </c>
      <c r="R30" s="26" t="s">
        <v>1428</v>
      </c>
      <c r="S30" s="26" t="s">
        <v>1424</v>
      </c>
      <c r="T30" s="26">
        <v>9.94025546E8</v>
      </c>
      <c r="U30" s="26">
        <v>8.6189654297E10</v>
      </c>
      <c r="V30" s="52">
        <v>31652.0</v>
      </c>
    </row>
    <row r="31">
      <c r="A31" s="13"/>
      <c r="B31" s="9" t="s">
        <v>1429</v>
      </c>
      <c r="C31" s="71" t="s">
        <v>1300</v>
      </c>
      <c r="D31" s="71" t="s">
        <v>1225</v>
      </c>
      <c r="E31" s="70"/>
      <c r="F31" s="71" t="s">
        <v>1247</v>
      </c>
      <c r="G31" s="20" t="s">
        <v>1430</v>
      </c>
      <c r="H31" s="11" t="s">
        <v>28</v>
      </c>
      <c r="I31" s="10">
        <f t="shared" si="1"/>
        <v>-1</v>
      </c>
      <c r="J31" s="12">
        <v>46121.0</v>
      </c>
      <c r="K31" s="12">
        <v>45756.0</v>
      </c>
      <c r="L31" s="11" t="s">
        <v>86</v>
      </c>
      <c r="M31" s="11" t="s">
        <v>1431</v>
      </c>
      <c r="N31" s="11">
        <v>9.8448305E7</v>
      </c>
      <c r="O31" s="58" t="s">
        <v>1432</v>
      </c>
      <c r="P31" s="15" t="s">
        <v>1433</v>
      </c>
      <c r="Q31" s="26" t="s">
        <v>1434</v>
      </c>
      <c r="R31" s="26" t="s">
        <v>1435</v>
      </c>
      <c r="S31" s="26" t="s">
        <v>1436</v>
      </c>
      <c r="T31" s="26">
        <v>9.8448305E7</v>
      </c>
      <c r="U31" s="26">
        <v>1.5309574068E10</v>
      </c>
      <c r="V31" s="52">
        <v>24159.0</v>
      </c>
    </row>
    <row r="32">
      <c r="A32" s="13"/>
      <c r="B32" s="9" t="s">
        <v>1437</v>
      </c>
      <c r="C32" s="71" t="s">
        <v>1300</v>
      </c>
      <c r="D32" s="71" t="s">
        <v>1225</v>
      </c>
      <c r="E32" s="70"/>
      <c r="F32" s="71" t="s">
        <v>1247</v>
      </c>
      <c r="G32" s="20" t="s">
        <v>1438</v>
      </c>
      <c r="H32" s="11" t="s">
        <v>28</v>
      </c>
      <c r="I32" s="10">
        <f t="shared" si="1"/>
        <v>-2</v>
      </c>
      <c r="J32" s="12">
        <v>46120.0</v>
      </c>
      <c r="K32" s="12">
        <v>45755.0</v>
      </c>
      <c r="L32" s="11" t="s">
        <v>86</v>
      </c>
      <c r="M32" s="11" t="s">
        <v>1439</v>
      </c>
      <c r="N32" s="11">
        <v>9.58148887E8</v>
      </c>
      <c r="O32" s="58" t="s">
        <v>1440</v>
      </c>
      <c r="P32" s="15" t="s">
        <v>1441</v>
      </c>
      <c r="Q32" s="26" t="s">
        <v>569</v>
      </c>
      <c r="R32" s="26" t="s">
        <v>1442</v>
      </c>
      <c r="S32" s="26" t="s">
        <v>1443</v>
      </c>
      <c r="T32" s="26">
        <v>9.58148887E8</v>
      </c>
      <c r="U32" s="26">
        <v>1.3400798241E10</v>
      </c>
      <c r="V32" s="84">
        <v>29157.0</v>
      </c>
    </row>
    <row r="33">
      <c r="A33" s="13"/>
      <c r="B33" s="9" t="s">
        <v>1444</v>
      </c>
      <c r="C33" s="71" t="s">
        <v>1246</v>
      </c>
      <c r="D33" s="71" t="s">
        <v>1225</v>
      </c>
      <c r="E33" s="70"/>
      <c r="F33" s="70"/>
      <c r="G33" s="20" t="s">
        <v>1445</v>
      </c>
      <c r="H33" s="11" t="s">
        <v>28</v>
      </c>
      <c r="I33" s="10">
        <f t="shared" si="1"/>
        <v>-13</v>
      </c>
      <c r="J33" s="12">
        <v>46109.0</v>
      </c>
      <c r="K33" s="12">
        <v>45744.0</v>
      </c>
      <c r="L33" s="11" t="s">
        <v>86</v>
      </c>
      <c r="M33" s="11" t="s">
        <v>1446</v>
      </c>
      <c r="N33" s="11">
        <v>9.98500319E8</v>
      </c>
      <c r="O33" s="58" t="s">
        <v>1447</v>
      </c>
      <c r="P33" s="15" t="s">
        <v>1448</v>
      </c>
      <c r="Q33" s="26" t="s">
        <v>683</v>
      </c>
      <c r="R33" s="26" t="s">
        <v>1449</v>
      </c>
      <c r="S33" s="26" t="s">
        <v>1450</v>
      </c>
      <c r="T33" s="26">
        <v>9.98500319E8</v>
      </c>
      <c r="U33" s="26">
        <v>9.356519691E10</v>
      </c>
      <c r="V33" s="52">
        <v>36106.0</v>
      </c>
    </row>
    <row r="34">
      <c r="A34" s="13"/>
      <c r="B34" s="9" t="s">
        <v>1451</v>
      </c>
      <c r="C34" s="71" t="s">
        <v>1235</v>
      </c>
      <c r="D34" s="71" t="s">
        <v>1225</v>
      </c>
      <c r="E34" s="70"/>
      <c r="F34" s="70"/>
      <c r="G34" s="20" t="s">
        <v>1452</v>
      </c>
      <c r="H34" s="11" t="s">
        <v>28</v>
      </c>
      <c r="I34" s="10">
        <f t="shared" si="1"/>
        <v>-35</v>
      </c>
      <c r="J34" s="12">
        <v>46087.0</v>
      </c>
      <c r="K34" s="12">
        <v>45722.0</v>
      </c>
      <c r="L34" s="11" t="s">
        <v>86</v>
      </c>
      <c r="M34" s="11" t="s">
        <v>1453</v>
      </c>
      <c r="N34" s="11" t="s">
        <v>1454</v>
      </c>
      <c r="O34" s="58" t="s">
        <v>1455</v>
      </c>
      <c r="P34" s="15" t="s">
        <v>1456</v>
      </c>
      <c r="Q34" s="26" t="s">
        <v>1457</v>
      </c>
      <c r="R34" s="26" t="s">
        <v>1458</v>
      </c>
      <c r="S34" s="26" t="s">
        <v>1453</v>
      </c>
      <c r="T34" s="26">
        <v>9.92544331E8</v>
      </c>
      <c r="U34" s="26">
        <v>9.3237261799E10</v>
      </c>
      <c r="V34" s="84">
        <v>28317.0</v>
      </c>
    </row>
    <row r="35">
      <c r="A35" s="13"/>
      <c r="B35" s="9" t="s">
        <v>1459</v>
      </c>
      <c r="C35" s="71" t="s">
        <v>1246</v>
      </c>
      <c r="D35" s="71" t="s">
        <v>1225</v>
      </c>
      <c r="E35" s="70"/>
      <c r="F35" s="71" t="s">
        <v>1247</v>
      </c>
      <c r="G35" s="20" t="s">
        <v>1460</v>
      </c>
      <c r="H35" s="11" t="s">
        <v>28</v>
      </c>
      <c r="I35" s="10">
        <f t="shared" si="1"/>
        <v>-42</v>
      </c>
      <c r="J35" s="12">
        <v>46080.0</v>
      </c>
      <c r="K35" s="12">
        <v>45715.0</v>
      </c>
      <c r="L35" s="11" t="s">
        <v>86</v>
      </c>
      <c r="M35" s="11" t="s">
        <v>1461</v>
      </c>
      <c r="N35" s="11" t="s">
        <v>1462</v>
      </c>
      <c r="O35" s="58" t="s">
        <v>1463</v>
      </c>
      <c r="P35" s="15" t="s">
        <v>1464</v>
      </c>
      <c r="Q35" s="26" t="s">
        <v>1465</v>
      </c>
      <c r="R35" s="26" t="s">
        <v>1466</v>
      </c>
      <c r="S35" s="26" t="s">
        <v>1467</v>
      </c>
      <c r="T35" s="26" t="s">
        <v>1462</v>
      </c>
      <c r="U35" s="26">
        <v>4.1917390464E10</v>
      </c>
      <c r="V35" s="52">
        <v>30846.0</v>
      </c>
    </row>
    <row r="36">
      <c r="A36" s="13"/>
      <c r="B36" s="9" t="s">
        <v>1468</v>
      </c>
      <c r="C36" s="71" t="s">
        <v>1246</v>
      </c>
      <c r="D36" s="71" t="s">
        <v>1225</v>
      </c>
      <c r="E36" s="70"/>
      <c r="F36" s="70"/>
      <c r="G36" s="20" t="s">
        <v>1469</v>
      </c>
      <c r="H36" s="11" t="s">
        <v>28</v>
      </c>
      <c r="I36" s="10">
        <f t="shared" si="1"/>
        <v>-49</v>
      </c>
      <c r="J36" s="12">
        <v>46073.0</v>
      </c>
      <c r="K36" s="12">
        <v>45708.0</v>
      </c>
      <c r="L36" s="11" t="s">
        <v>86</v>
      </c>
      <c r="M36" s="11" t="s">
        <v>1470</v>
      </c>
      <c r="N36" s="11">
        <v>9.93839987E8</v>
      </c>
      <c r="O36" s="58" t="s">
        <v>1471</v>
      </c>
      <c r="P36" s="15" t="s">
        <v>1472</v>
      </c>
      <c r="Q36" s="26" t="s">
        <v>1473</v>
      </c>
      <c r="R36" s="26" t="s">
        <v>1474</v>
      </c>
      <c r="S36" s="26" t="s">
        <v>1475</v>
      </c>
      <c r="T36" s="26">
        <v>9.93839987E8</v>
      </c>
      <c r="U36" s="26">
        <v>5.4152179394E10</v>
      </c>
      <c r="V36" s="84">
        <v>29880.0</v>
      </c>
      <c r="W36" s="11" t="s">
        <v>1201</v>
      </c>
      <c r="Y36" s="11" t="s">
        <v>1470</v>
      </c>
    </row>
    <row r="37">
      <c r="A37" s="13"/>
      <c r="B37" s="9" t="s">
        <v>1476</v>
      </c>
      <c r="C37" s="71" t="s">
        <v>1246</v>
      </c>
      <c r="D37" s="71" t="s">
        <v>1225</v>
      </c>
      <c r="E37" s="70"/>
      <c r="F37" s="70"/>
      <c r="G37" s="20" t="s">
        <v>1477</v>
      </c>
      <c r="H37" s="11" t="s">
        <v>28</v>
      </c>
      <c r="I37" s="10">
        <f t="shared" si="1"/>
        <v>-52</v>
      </c>
      <c r="J37" s="16">
        <v>46070.0</v>
      </c>
      <c r="K37" s="16">
        <v>45705.0</v>
      </c>
      <c r="L37" s="11" t="s">
        <v>86</v>
      </c>
      <c r="M37" s="11" t="s">
        <v>1478</v>
      </c>
      <c r="N37" s="11">
        <v>9.15922931E8</v>
      </c>
      <c r="O37" s="58" t="s">
        <v>1479</v>
      </c>
      <c r="P37" s="15" t="s">
        <v>1480</v>
      </c>
      <c r="Q37" s="26" t="s">
        <v>407</v>
      </c>
      <c r="R37" s="26" t="s">
        <v>1481</v>
      </c>
      <c r="S37" s="26" t="s">
        <v>1482</v>
      </c>
      <c r="T37" s="26">
        <v>9.15922931E8</v>
      </c>
      <c r="U37" s="26">
        <v>2.2351931655E10</v>
      </c>
      <c r="V37" s="52">
        <v>32673.0</v>
      </c>
    </row>
    <row r="38">
      <c r="A38" s="13"/>
      <c r="B38" s="9" t="s">
        <v>1483</v>
      </c>
      <c r="C38" s="71" t="s">
        <v>1484</v>
      </c>
      <c r="D38" s="71" t="s">
        <v>1225</v>
      </c>
      <c r="E38" s="70"/>
      <c r="F38" s="70"/>
      <c r="G38" s="20" t="s">
        <v>1485</v>
      </c>
      <c r="H38" s="11" t="s">
        <v>28</v>
      </c>
      <c r="I38" s="10">
        <f t="shared" si="1"/>
        <v>-71</v>
      </c>
      <c r="J38" s="16">
        <v>46051.0</v>
      </c>
      <c r="K38" s="16">
        <v>45686.0</v>
      </c>
      <c r="L38" s="11" t="s">
        <v>86</v>
      </c>
      <c r="M38" s="11" t="s">
        <v>1486</v>
      </c>
      <c r="N38" s="11">
        <v>9.852018E7</v>
      </c>
      <c r="O38" s="58" t="s">
        <v>1487</v>
      </c>
      <c r="P38" s="15" t="s">
        <v>1488</v>
      </c>
      <c r="Q38" s="26" t="s">
        <v>425</v>
      </c>
      <c r="R38" s="26" t="s">
        <v>1489</v>
      </c>
      <c r="S38" s="26" t="s">
        <v>1490</v>
      </c>
      <c r="T38" s="26">
        <v>9.852018E7</v>
      </c>
      <c r="U38" s="26">
        <v>9.3038525051E10</v>
      </c>
      <c r="V38" s="52">
        <v>29996.0</v>
      </c>
    </row>
    <row r="39">
      <c r="A39" s="13"/>
      <c r="B39" s="9" t="s">
        <v>1491</v>
      </c>
      <c r="C39" s="85" t="s">
        <v>1246</v>
      </c>
      <c r="D39" s="71" t="s">
        <v>1225</v>
      </c>
      <c r="E39" s="85"/>
      <c r="F39" s="85"/>
      <c r="G39" s="20" t="s">
        <v>1492</v>
      </c>
      <c r="H39" s="11" t="s">
        <v>28</v>
      </c>
      <c r="I39" s="10">
        <f t="shared" si="1"/>
        <v>-83</v>
      </c>
      <c r="J39" s="12">
        <v>46039.0</v>
      </c>
      <c r="K39" s="12">
        <v>45674.0</v>
      </c>
      <c r="L39" s="11" t="s">
        <v>86</v>
      </c>
      <c r="M39" s="11" t="s">
        <v>1493</v>
      </c>
      <c r="N39" s="11" t="s">
        <v>1494</v>
      </c>
      <c r="O39" s="58" t="s">
        <v>1495</v>
      </c>
      <c r="P39" s="15" t="s">
        <v>1496</v>
      </c>
      <c r="Q39" s="26" t="s">
        <v>1497</v>
      </c>
      <c r="R39" s="26" t="s">
        <v>1498</v>
      </c>
      <c r="S39" s="26" t="s">
        <v>1499</v>
      </c>
      <c r="T39" s="26">
        <v>9.5859575E8</v>
      </c>
      <c r="U39" s="26">
        <v>9.9114575513E10</v>
      </c>
      <c r="V39" s="52">
        <v>39845.0</v>
      </c>
    </row>
    <row r="40">
      <c r="A40" s="13"/>
      <c r="B40" s="9" t="s">
        <v>1500</v>
      </c>
      <c r="C40" s="71" t="s">
        <v>1246</v>
      </c>
      <c r="D40" s="71" t="s">
        <v>1225</v>
      </c>
      <c r="E40" s="70"/>
      <c r="F40" s="71" t="s">
        <v>1247</v>
      </c>
      <c r="G40" s="29" t="s">
        <v>1501</v>
      </c>
      <c r="H40" s="11" t="s">
        <v>28</v>
      </c>
      <c r="I40" s="10">
        <f t="shared" si="1"/>
        <v>-84</v>
      </c>
      <c r="J40" s="12">
        <v>46038.0</v>
      </c>
      <c r="K40" s="12">
        <v>45673.0</v>
      </c>
      <c r="L40" s="11" t="s">
        <v>86</v>
      </c>
      <c r="M40" s="11" t="s">
        <v>1502</v>
      </c>
      <c r="N40" s="11">
        <v>9.12561003E8</v>
      </c>
      <c r="O40" s="58" t="s">
        <v>1503</v>
      </c>
      <c r="P40" s="15" t="s">
        <v>1504</v>
      </c>
      <c r="Q40" s="26" t="s">
        <v>1161</v>
      </c>
      <c r="R40" s="26" t="s">
        <v>1505</v>
      </c>
      <c r="S40" s="26" t="s">
        <v>1506</v>
      </c>
      <c r="T40" s="26">
        <v>9.12561003E8</v>
      </c>
      <c r="U40" s="26">
        <v>6.4886347539E10</v>
      </c>
      <c r="V40" s="52">
        <v>25779.0</v>
      </c>
    </row>
    <row r="41">
      <c r="A41" s="13"/>
      <c r="B41" s="9" t="s">
        <v>1507</v>
      </c>
      <c r="C41" s="71" t="s">
        <v>1246</v>
      </c>
      <c r="D41" s="71" t="s">
        <v>1225</v>
      </c>
      <c r="E41" s="71"/>
      <c r="F41" s="70"/>
      <c r="G41" s="29" t="s">
        <v>1508</v>
      </c>
      <c r="H41" s="11" t="s">
        <v>28</v>
      </c>
      <c r="I41" s="10">
        <f t="shared" si="1"/>
        <v>-86</v>
      </c>
      <c r="J41" s="12">
        <v>46036.0</v>
      </c>
      <c r="K41" s="12">
        <v>45671.0</v>
      </c>
      <c r="L41" s="11" t="s">
        <v>86</v>
      </c>
      <c r="M41" s="11" t="s">
        <v>1509</v>
      </c>
      <c r="N41" s="11">
        <v>9.17503788E8</v>
      </c>
      <c r="O41" s="58" t="s">
        <v>1510</v>
      </c>
      <c r="P41" s="15" t="s">
        <v>1511</v>
      </c>
      <c r="Q41" s="26" t="s">
        <v>1512</v>
      </c>
      <c r="R41" s="26" t="s">
        <v>1513</v>
      </c>
      <c r="S41" s="26" t="s">
        <v>1514</v>
      </c>
      <c r="T41" s="26">
        <v>9.17503788E8</v>
      </c>
      <c r="U41" s="26">
        <v>2.4945831317E10</v>
      </c>
      <c r="V41" s="52">
        <v>31629.0</v>
      </c>
    </row>
    <row r="42">
      <c r="B42" s="13" t="s">
        <v>1515</v>
      </c>
      <c r="C42" s="85" t="s">
        <v>1235</v>
      </c>
      <c r="D42" s="71" t="s">
        <v>1225</v>
      </c>
      <c r="E42" s="85"/>
      <c r="F42" s="85" t="s">
        <v>1247</v>
      </c>
      <c r="G42" s="20" t="s">
        <v>1516</v>
      </c>
      <c r="H42" s="11" t="s">
        <v>28</v>
      </c>
      <c r="I42" s="10">
        <f t="shared" si="1"/>
        <v>-122</v>
      </c>
      <c r="J42" s="12">
        <v>46000.0</v>
      </c>
      <c r="K42" s="12">
        <v>45635.0</v>
      </c>
      <c r="L42" s="11" t="s">
        <v>86</v>
      </c>
      <c r="M42" s="11" t="s">
        <v>1517</v>
      </c>
      <c r="N42" s="11" t="s">
        <v>1518</v>
      </c>
      <c r="O42" s="58" t="s">
        <v>1519</v>
      </c>
      <c r="P42" s="15" t="s">
        <v>1520</v>
      </c>
      <c r="Q42" s="26" t="s">
        <v>1521</v>
      </c>
      <c r="R42" s="37" t="s">
        <v>1522</v>
      </c>
      <c r="S42" s="26" t="s">
        <v>1523</v>
      </c>
      <c r="T42" s="26"/>
      <c r="U42" s="26"/>
      <c r="V42" s="52"/>
      <c r="W42" s="11"/>
      <c r="X42" s="11"/>
      <c r="Y42" s="11"/>
      <c r="Z42" s="11"/>
    </row>
    <row r="43">
      <c r="A43" s="9" t="s">
        <v>1524</v>
      </c>
      <c r="B43" s="9" t="s">
        <v>1525</v>
      </c>
      <c r="C43" s="85" t="s">
        <v>1246</v>
      </c>
      <c r="D43" s="71" t="s">
        <v>1225</v>
      </c>
      <c r="E43" s="85"/>
      <c r="F43" s="85"/>
      <c r="G43" s="20" t="s">
        <v>1526</v>
      </c>
      <c r="H43" s="11" t="s">
        <v>28</v>
      </c>
      <c r="I43" s="10">
        <f t="shared" si="1"/>
        <v>238</v>
      </c>
      <c r="J43" s="12">
        <v>46360.0</v>
      </c>
      <c r="K43" s="12">
        <v>45630.0</v>
      </c>
      <c r="L43" s="11" t="s">
        <v>86</v>
      </c>
      <c r="M43" s="11" t="s">
        <v>1527</v>
      </c>
      <c r="O43" s="58" t="s">
        <v>1528</v>
      </c>
      <c r="P43" s="15" t="s">
        <v>1529</v>
      </c>
      <c r="Q43" s="26" t="s">
        <v>447</v>
      </c>
      <c r="R43" s="26" t="s">
        <v>1530</v>
      </c>
      <c r="S43" s="26" t="s">
        <v>1531</v>
      </c>
      <c r="T43" s="26" t="s">
        <v>1532</v>
      </c>
      <c r="U43" s="26">
        <v>8.3562580387E10</v>
      </c>
      <c r="V43" s="52">
        <v>33994.0</v>
      </c>
    </row>
    <row r="44">
      <c r="A44" s="32" t="s">
        <v>1533</v>
      </c>
      <c r="B44" s="9" t="s">
        <v>1534</v>
      </c>
      <c r="C44" s="85" t="s">
        <v>1224</v>
      </c>
      <c r="D44" s="71" t="s">
        <v>1225</v>
      </c>
      <c r="E44" s="85"/>
      <c r="F44" s="85" t="s">
        <v>1247</v>
      </c>
      <c r="G44" s="20" t="s">
        <v>1535</v>
      </c>
      <c r="H44" s="11" t="s">
        <v>28</v>
      </c>
      <c r="I44" s="10">
        <f t="shared" si="1"/>
        <v>224</v>
      </c>
      <c r="J44" s="12">
        <v>46346.0</v>
      </c>
      <c r="K44" s="12">
        <v>45616.0</v>
      </c>
      <c r="L44" s="11" t="s">
        <v>86</v>
      </c>
      <c r="M44" s="11" t="s">
        <v>1536</v>
      </c>
      <c r="N44" s="11">
        <v>1.3096944E7</v>
      </c>
      <c r="O44" s="58" t="s">
        <v>1537</v>
      </c>
      <c r="P44" s="15" t="s">
        <v>1538</v>
      </c>
      <c r="Q44" s="26" t="s">
        <v>1539</v>
      </c>
      <c r="R44" s="26" t="s">
        <v>1540</v>
      </c>
      <c r="S44" s="26" t="s">
        <v>1541</v>
      </c>
      <c r="T44" s="26">
        <v>9.18903847E8</v>
      </c>
      <c r="U44" s="26">
        <v>6.855474074E10</v>
      </c>
      <c r="V44" s="84">
        <v>34296.0</v>
      </c>
    </row>
    <row r="45">
      <c r="A45" s="13"/>
      <c r="B45" s="86" t="s">
        <v>1542</v>
      </c>
      <c r="C45" s="85" t="s">
        <v>1224</v>
      </c>
      <c r="D45" s="71" t="s">
        <v>1225</v>
      </c>
      <c r="E45" s="85"/>
      <c r="F45" s="85" t="s">
        <v>1247</v>
      </c>
      <c r="G45" s="20" t="s">
        <v>1543</v>
      </c>
      <c r="H45" s="11" t="s">
        <v>28</v>
      </c>
      <c r="I45" s="10">
        <f t="shared" si="1"/>
        <v>584</v>
      </c>
      <c r="J45" s="12">
        <v>46706.0</v>
      </c>
      <c r="K45" s="12">
        <v>45611.0</v>
      </c>
      <c r="L45" s="11" t="s">
        <v>86</v>
      </c>
      <c r="M45" s="11" t="s">
        <v>1544</v>
      </c>
      <c r="N45" s="11">
        <v>1.6061555E7</v>
      </c>
      <c r="O45" s="58" t="s">
        <v>1545</v>
      </c>
      <c r="P45" s="15" t="s">
        <v>1546</v>
      </c>
      <c r="Q45" s="26" t="s">
        <v>1547</v>
      </c>
      <c r="R45" s="26" t="s">
        <v>1548</v>
      </c>
      <c r="S45" s="26" t="s">
        <v>1549</v>
      </c>
      <c r="T45" s="78"/>
      <c r="U45" s="78"/>
      <c r="V45" s="79"/>
    </row>
    <row r="46">
      <c r="A46" s="13"/>
      <c r="B46" s="9" t="s">
        <v>1550</v>
      </c>
      <c r="C46" s="85" t="s">
        <v>1246</v>
      </c>
      <c r="D46" s="71" t="s">
        <v>1225</v>
      </c>
      <c r="E46" s="85" t="s">
        <v>1247</v>
      </c>
      <c r="F46" s="85" t="s">
        <v>1247</v>
      </c>
      <c r="G46" s="20" t="s">
        <v>1551</v>
      </c>
      <c r="H46" s="11" t="s">
        <v>28</v>
      </c>
      <c r="I46" s="10">
        <f t="shared" si="1"/>
        <v>-150</v>
      </c>
      <c r="J46" s="12">
        <v>45972.0</v>
      </c>
      <c r="K46" s="12">
        <v>45607.0</v>
      </c>
      <c r="L46" s="11" t="s">
        <v>86</v>
      </c>
      <c r="M46" s="11" t="s">
        <v>1552</v>
      </c>
      <c r="N46" s="11" t="s">
        <v>1553</v>
      </c>
      <c r="O46" s="58" t="s">
        <v>1554</v>
      </c>
      <c r="P46" s="15" t="s">
        <v>1555</v>
      </c>
      <c r="Q46" s="26" t="s">
        <v>584</v>
      </c>
      <c r="R46" s="26" t="s">
        <v>1556</v>
      </c>
      <c r="S46" s="26" t="s">
        <v>1557</v>
      </c>
      <c r="T46" s="26">
        <v>9.53649225E8</v>
      </c>
      <c r="U46" s="26">
        <v>9.732849953E9</v>
      </c>
      <c r="V46" s="52">
        <v>32711.0</v>
      </c>
      <c r="W46" s="11" t="s">
        <v>1558</v>
      </c>
      <c r="X46" s="11" t="s">
        <v>1559</v>
      </c>
      <c r="Y46" s="11" t="s">
        <v>1560</v>
      </c>
      <c r="Z46" s="11">
        <v>9.8812871E7</v>
      </c>
      <c r="AB46" s="12">
        <v>27026.0</v>
      </c>
    </row>
    <row r="47">
      <c r="A47" s="13"/>
      <c r="B47" s="9" t="s">
        <v>1561</v>
      </c>
      <c r="C47" s="71"/>
      <c r="D47" s="71"/>
      <c r="E47" s="71"/>
      <c r="F47" s="70"/>
      <c r="G47" s="29" t="s">
        <v>1562</v>
      </c>
      <c r="H47" s="11" t="s">
        <v>28</v>
      </c>
      <c r="I47" s="10">
        <f t="shared" si="1"/>
        <v>-154</v>
      </c>
      <c r="J47" s="12">
        <v>45968.0</v>
      </c>
      <c r="K47" s="12">
        <v>45603.0</v>
      </c>
      <c r="L47" s="11" t="s">
        <v>29</v>
      </c>
      <c r="M47" s="11" t="s">
        <v>1563</v>
      </c>
      <c r="N47" s="11" t="s">
        <v>1564</v>
      </c>
      <c r="O47" s="58" t="s">
        <v>1565</v>
      </c>
      <c r="P47" s="15" t="s">
        <v>1566</v>
      </c>
      <c r="Q47" s="26" t="s">
        <v>376</v>
      </c>
      <c r="R47" s="26" t="s">
        <v>1567</v>
      </c>
      <c r="S47" s="26" t="s">
        <v>1568</v>
      </c>
      <c r="T47" s="26" t="s">
        <v>1564</v>
      </c>
      <c r="U47" s="26">
        <v>1.8874728791E10</v>
      </c>
      <c r="V47" s="52">
        <v>35654.0</v>
      </c>
    </row>
    <row r="48">
      <c r="A48" s="13"/>
      <c r="B48" s="9" t="s">
        <v>1569</v>
      </c>
      <c r="C48" s="85"/>
      <c r="D48" s="85"/>
      <c r="E48" s="85" t="s">
        <v>1247</v>
      </c>
      <c r="F48" s="85" t="s">
        <v>1247</v>
      </c>
      <c r="G48" s="20" t="s">
        <v>1570</v>
      </c>
      <c r="H48" s="11" t="s">
        <v>28</v>
      </c>
      <c r="I48" s="10">
        <f t="shared" si="1"/>
        <v>-155</v>
      </c>
      <c r="J48" s="12">
        <v>45967.0</v>
      </c>
      <c r="K48" s="12">
        <v>45602.0</v>
      </c>
      <c r="L48" s="11" t="s">
        <v>29</v>
      </c>
      <c r="M48" s="11" t="s">
        <v>1571</v>
      </c>
      <c r="O48" s="58" t="s">
        <v>1572</v>
      </c>
      <c r="P48" s="15" t="s">
        <v>1573</v>
      </c>
      <c r="Q48" s="87" t="s">
        <v>1574</v>
      </c>
      <c r="R48" s="26" t="s">
        <v>1575</v>
      </c>
      <c r="S48" s="26" t="s">
        <v>1576</v>
      </c>
      <c r="T48" s="26">
        <v>9.14501009E8</v>
      </c>
      <c r="U48" s="26">
        <v>8.92654843E10</v>
      </c>
      <c r="V48" s="77">
        <v>35694.0</v>
      </c>
      <c r="W48" s="11" t="s">
        <v>1577</v>
      </c>
      <c r="X48" s="11" t="s">
        <v>1578</v>
      </c>
      <c r="Y48" s="11" t="s">
        <v>1579</v>
      </c>
      <c r="Z48" s="11">
        <v>9.1450158E8</v>
      </c>
      <c r="AA48" s="11">
        <v>6.8832688577E10</v>
      </c>
      <c r="AB48" s="16">
        <v>34553.0</v>
      </c>
    </row>
    <row r="49">
      <c r="A49" s="13"/>
      <c r="B49" s="9" t="s">
        <v>1580</v>
      </c>
      <c r="C49" s="85" t="s">
        <v>1246</v>
      </c>
      <c r="D49" s="71" t="s">
        <v>1225</v>
      </c>
      <c r="E49" s="85"/>
      <c r="F49" s="85"/>
      <c r="G49" s="20" t="s">
        <v>1581</v>
      </c>
      <c r="H49" s="11" t="s">
        <v>28</v>
      </c>
      <c r="I49" s="10">
        <f t="shared" si="1"/>
        <v>-170</v>
      </c>
      <c r="J49" s="12">
        <v>45952.0</v>
      </c>
      <c r="K49" s="12">
        <v>45587.0</v>
      </c>
      <c r="L49" s="11" t="s">
        <v>86</v>
      </c>
      <c r="M49" s="11" t="s">
        <v>1582</v>
      </c>
      <c r="N49" s="11">
        <v>9.92267176E8</v>
      </c>
      <c r="O49" s="58" t="s">
        <v>1583</v>
      </c>
      <c r="P49" s="15" t="s">
        <v>1584</v>
      </c>
      <c r="Q49" s="26" t="s">
        <v>859</v>
      </c>
      <c r="R49" s="26" t="s">
        <v>1585</v>
      </c>
      <c r="S49" s="26" t="s">
        <v>1586</v>
      </c>
      <c r="T49" s="26">
        <v>9.7694202E8</v>
      </c>
      <c r="U49" s="26">
        <v>7.2597098525E10</v>
      </c>
      <c r="V49" s="52">
        <v>36275.0</v>
      </c>
    </row>
    <row r="50">
      <c r="A50" s="13"/>
      <c r="B50" s="9" t="s">
        <v>1587</v>
      </c>
      <c r="C50" s="85" t="s">
        <v>1246</v>
      </c>
      <c r="D50" s="71" t="s">
        <v>1225</v>
      </c>
      <c r="E50" s="85"/>
      <c r="F50" s="85"/>
      <c r="G50" s="20" t="s">
        <v>1588</v>
      </c>
      <c r="H50" s="11" t="s">
        <v>28</v>
      </c>
      <c r="I50" s="10">
        <f t="shared" si="1"/>
        <v>188</v>
      </c>
      <c r="J50" s="12">
        <v>46310.0</v>
      </c>
      <c r="K50" s="12">
        <v>45580.0</v>
      </c>
      <c r="L50" s="11" t="s">
        <v>86</v>
      </c>
      <c r="M50" s="11" t="s">
        <v>1589</v>
      </c>
      <c r="N50" s="11">
        <v>9.55758171E8</v>
      </c>
      <c r="O50" s="58" t="s">
        <v>1590</v>
      </c>
      <c r="P50" s="15" t="s">
        <v>1591</v>
      </c>
      <c r="Q50" s="26" t="s">
        <v>592</v>
      </c>
      <c r="R50" s="26" t="s">
        <v>1592</v>
      </c>
      <c r="S50" s="26" t="s">
        <v>1593</v>
      </c>
      <c r="T50" s="26">
        <v>9.55758171E8</v>
      </c>
      <c r="U50" s="26">
        <v>8.8540152237E10</v>
      </c>
      <c r="V50" s="52">
        <v>34890.0</v>
      </c>
    </row>
    <row r="51">
      <c r="A51" s="13"/>
      <c r="B51" s="9" t="s">
        <v>1594</v>
      </c>
      <c r="C51" s="85" t="s">
        <v>1246</v>
      </c>
      <c r="D51" s="71" t="s">
        <v>1225</v>
      </c>
      <c r="E51" s="85"/>
      <c r="F51" s="85" t="s">
        <v>1247</v>
      </c>
      <c r="G51" s="20" t="s">
        <v>1595</v>
      </c>
      <c r="H51" s="11" t="s">
        <v>28</v>
      </c>
      <c r="I51" s="10">
        <f t="shared" si="1"/>
        <v>-185</v>
      </c>
      <c r="J51" s="16">
        <v>45937.0</v>
      </c>
      <c r="K51" s="16">
        <v>45572.0</v>
      </c>
      <c r="L51" s="11" t="s">
        <v>86</v>
      </c>
      <c r="M51" s="11" t="s">
        <v>1596</v>
      </c>
      <c r="N51" s="11">
        <v>9.13172344E8</v>
      </c>
      <c r="O51" s="58" t="s">
        <v>1597</v>
      </c>
      <c r="P51" s="15" t="s">
        <v>1598</v>
      </c>
      <c r="Q51" s="26" t="s">
        <v>425</v>
      </c>
      <c r="R51" s="26" t="s">
        <v>1599</v>
      </c>
      <c r="S51" s="26" t="s">
        <v>1600</v>
      </c>
      <c r="T51" s="26">
        <v>9.13172344E8</v>
      </c>
      <c r="U51" s="26">
        <v>1.4939378664E10</v>
      </c>
      <c r="V51" s="52">
        <v>28641.0</v>
      </c>
      <c r="AI51" s="34"/>
    </row>
    <row r="52">
      <c r="A52" s="13"/>
      <c r="B52" s="9" t="s">
        <v>1601</v>
      </c>
      <c r="C52" s="85" t="s">
        <v>1246</v>
      </c>
      <c r="D52" s="71" t="s">
        <v>1225</v>
      </c>
      <c r="E52" s="85"/>
      <c r="F52" s="85" t="s">
        <v>1247</v>
      </c>
      <c r="G52" s="20" t="s">
        <v>1602</v>
      </c>
      <c r="H52" s="11" t="s">
        <v>28</v>
      </c>
      <c r="I52" s="10">
        <f t="shared" si="1"/>
        <v>177</v>
      </c>
      <c r="J52" s="16">
        <v>46299.0</v>
      </c>
      <c r="K52" s="16">
        <v>45569.0</v>
      </c>
      <c r="L52" s="11" t="s">
        <v>86</v>
      </c>
      <c r="M52" s="11" t="s">
        <v>1603</v>
      </c>
      <c r="N52" s="11">
        <v>9.13300126E8</v>
      </c>
      <c r="O52" s="58" t="s">
        <v>1604</v>
      </c>
      <c r="P52" s="15" t="s">
        <v>1605</v>
      </c>
      <c r="Q52" s="26" t="s">
        <v>340</v>
      </c>
      <c r="R52" s="26" t="s">
        <v>1606</v>
      </c>
      <c r="S52" s="26" t="s">
        <v>1607</v>
      </c>
      <c r="T52" s="26">
        <v>3.8598323332E10</v>
      </c>
      <c r="U52" s="26">
        <v>3.4483505167E10</v>
      </c>
      <c r="V52" s="52">
        <v>29618.0</v>
      </c>
      <c r="W52" s="11" t="s">
        <v>271</v>
      </c>
      <c r="X52" s="11" t="s">
        <v>1608</v>
      </c>
      <c r="Y52" s="11" t="s">
        <v>1609</v>
      </c>
      <c r="Z52" s="11" t="s">
        <v>1610</v>
      </c>
      <c r="AA52" s="11">
        <v>8.217685263E10</v>
      </c>
      <c r="AB52" s="16">
        <v>30217.0</v>
      </c>
    </row>
    <row r="53">
      <c r="A53" s="13"/>
      <c r="B53" s="9" t="s">
        <v>1611</v>
      </c>
      <c r="C53" s="85"/>
      <c r="D53" s="85"/>
      <c r="E53" s="85"/>
      <c r="F53" s="85"/>
      <c r="G53" s="20" t="s">
        <v>1612</v>
      </c>
      <c r="H53" s="11" t="s">
        <v>28</v>
      </c>
      <c r="I53" s="10">
        <f t="shared" si="1"/>
        <v>-447</v>
      </c>
      <c r="J53" s="16">
        <v>45675.0</v>
      </c>
      <c r="K53" s="16">
        <v>45569.0</v>
      </c>
      <c r="L53" s="11" t="s">
        <v>29</v>
      </c>
      <c r="M53" s="11" t="s">
        <v>1613</v>
      </c>
      <c r="N53" s="11" t="s">
        <v>1614</v>
      </c>
      <c r="O53" s="58" t="s">
        <v>1615</v>
      </c>
      <c r="P53" s="15" t="s">
        <v>1616</v>
      </c>
      <c r="Q53" s="26" t="s">
        <v>1617</v>
      </c>
      <c r="R53" s="26" t="s">
        <v>1618</v>
      </c>
      <c r="S53" s="26" t="s">
        <v>1619</v>
      </c>
      <c r="T53" s="78"/>
      <c r="U53" s="26">
        <v>2.9053470119E10</v>
      </c>
      <c r="V53" s="52">
        <v>32705.0</v>
      </c>
    </row>
    <row r="54">
      <c r="A54" s="13"/>
      <c r="B54" s="9" t="s">
        <v>1620</v>
      </c>
      <c r="C54" s="85" t="s">
        <v>1246</v>
      </c>
      <c r="D54" s="71" t="s">
        <v>1225</v>
      </c>
      <c r="E54" s="85"/>
      <c r="F54" s="85" t="s">
        <v>1247</v>
      </c>
      <c r="G54" s="20" t="s">
        <v>1621</v>
      </c>
      <c r="H54" s="11" t="s">
        <v>28</v>
      </c>
      <c r="I54" s="10">
        <f t="shared" si="1"/>
        <v>-197</v>
      </c>
      <c r="J54" s="35">
        <v>45925.0</v>
      </c>
      <c r="K54" s="35">
        <v>45560.0</v>
      </c>
      <c r="L54" s="11" t="s">
        <v>86</v>
      </c>
      <c r="M54" s="11" t="s">
        <v>1622</v>
      </c>
      <c r="N54" s="11">
        <v>3.8638121163E10</v>
      </c>
      <c r="O54" s="58" t="s">
        <v>1623</v>
      </c>
      <c r="P54" s="15" t="s">
        <v>1624</v>
      </c>
      <c r="Q54" s="26" t="s">
        <v>1262</v>
      </c>
      <c r="R54" s="26" t="s">
        <v>1625</v>
      </c>
      <c r="S54" s="26" t="s">
        <v>1626</v>
      </c>
      <c r="T54" s="26"/>
      <c r="U54" s="26" t="s">
        <v>1627</v>
      </c>
      <c r="V54" s="84">
        <v>33192.0</v>
      </c>
    </row>
    <row r="55">
      <c r="A55" s="13"/>
      <c r="B55" s="9" t="s">
        <v>1628</v>
      </c>
      <c r="C55" s="85" t="s">
        <v>1246</v>
      </c>
      <c r="D55" s="71" t="s">
        <v>1225</v>
      </c>
      <c r="E55" s="85" t="s">
        <v>1247</v>
      </c>
      <c r="F55" s="85" t="s">
        <v>1247</v>
      </c>
      <c r="G55" s="20" t="s">
        <v>1629</v>
      </c>
      <c r="H55" s="11" t="s">
        <v>28</v>
      </c>
      <c r="I55" s="10">
        <f t="shared" si="1"/>
        <v>-199</v>
      </c>
      <c r="J55" s="35">
        <v>45923.0</v>
      </c>
      <c r="K55" s="35">
        <v>45558.0</v>
      </c>
      <c r="L55" s="11" t="s">
        <v>86</v>
      </c>
      <c r="M55" s="11" t="s">
        <v>1630</v>
      </c>
      <c r="N55" s="11" t="s">
        <v>1631</v>
      </c>
      <c r="O55" s="58" t="s">
        <v>1632</v>
      </c>
      <c r="P55" s="15" t="s">
        <v>1633</v>
      </c>
      <c r="Q55" s="26" t="s">
        <v>373</v>
      </c>
      <c r="R55" s="26" t="s">
        <v>1634</v>
      </c>
      <c r="S55" s="26" t="s">
        <v>1630</v>
      </c>
      <c r="T55" s="78"/>
      <c r="U55" s="26">
        <v>4.1685694768E10</v>
      </c>
      <c r="V55" s="52">
        <v>36558.0</v>
      </c>
    </row>
    <row r="56">
      <c r="A56" s="32" t="s">
        <v>1635</v>
      </c>
      <c r="B56" s="9" t="s">
        <v>1636</v>
      </c>
      <c r="C56" s="72" t="s">
        <v>1246</v>
      </c>
      <c r="D56" s="71" t="s">
        <v>1225</v>
      </c>
      <c r="E56" s="73"/>
      <c r="F56" s="72" t="s">
        <v>1247</v>
      </c>
      <c r="G56" s="54" t="s">
        <v>1637</v>
      </c>
      <c r="H56" s="32" t="s">
        <v>28</v>
      </c>
      <c r="I56" s="34">
        <f t="shared" si="1"/>
        <v>162</v>
      </c>
      <c r="J56" s="35">
        <v>46284.0</v>
      </c>
      <c r="K56" s="35">
        <v>45554.0</v>
      </c>
      <c r="L56" s="32" t="s">
        <v>86</v>
      </c>
      <c r="M56" s="75" t="s">
        <v>1638</v>
      </c>
      <c r="N56" s="32" t="s">
        <v>1639</v>
      </c>
      <c r="O56" s="74" t="s">
        <v>1640</v>
      </c>
      <c r="P56" s="28" t="s">
        <v>1641</v>
      </c>
      <c r="Q56" s="75" t="s">
        <v>1642</v>
      </c>
      <c r="R56" s="75" t="s">
        <v>1643</v>
      </c>
      <c r="S56" s="75" t="s">
        <v>1638</v>
      </c>
      <c r="T56" s="75" t="s">
        <v>1639</v>
      </c>
      <c r="U56" s="75">
        <v>6.6715277213E10</v>
      </c>
      <c r="V56" s="76">
        <v>35944.0</v>
      </c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>
      <c r="A57" s="13"/>
      <c r="B57" s="9" t="s">
        <v>1644</v>
      </c>
      <c r="C57" s="85" t="s">
        <v>1235</v>
      </c>
      <c r="D57" s="71" t="s">
        <v>1225</v>
      </c>
      <c r="E57" s="85"/>
      <c r="F57" s="85" t="s">
        <v>1247</v>
      </c>
      <c r="G57" s="20" t="s">
        <v>1645</v>
      </c>
      <c r="H57" s="11" t="s">
        <v>28</v>
      </c>
      <c r="I57" s="10">
        <f t="shared" si="1"/>
        <v>152</v>
      </c>
      <c r="J57" s="16">
        <v>46274.0</v>
      </c>
      <c r="K57" s="16">
        <v>45544.0</v>
      </c>
      <c r="L57" s="11" t="s">
        <v>86</v>
      </c>
      <c r="M57" s="11" t="s">
        <v>1646</v>
      </c>
      <c r="N57" s="11">
        <v>9.5400404E8</v>
      </c>
      <c r="O57" s="58" t="s">
        <v>1647</v>
      </c>
      <c r="P57" s="15" t="s">
        <v>1648</v>
      </c>
      <c r="Q57" s="26" t="s">
        <v>1473</v>
      </c>
      <c r="R57" s="26" t="s">
        <v>1649</v>
      </c>
      <c r="S57" s="26" t="s">
        <v>1650</v>
      </c>
      <c r="T57" s="26">
        <v>9.5400404E8</v>
      </c>
      <c r="U57" s="26">
        <v>4.0526598978E10</v>
      </c>
      <c r="V57" s="52">
        <v>32007.0</v>
      </c>
      <c r="W57" s="11" t="s">
        <v>340</v>
      </c>
      <c r="X57" s="11" t="s">
        <v>1651</v>
      </c>
      <c r="Y57" s="11" t="s">
        <v>1652</v>
      </c>
      <c r="Z57" s="11">
        <v>9.8402211E7</v>
      </c>
      <c r="AA57" s="11">
        <v>9.8723403522E10</v>
      </c>
      <c r="AB57" s="12">
        <v>28094.0</v>
      </c>
    </row>
    <row r="58">
      <c r="A58" s="13"/>
      <c r="B58" s="9" t="s">
        <v>1653</v>
      </c>
      <c r="C58" s="85"/>
      <c r="D58" s="85"/>
      <c r="E58" s="85" t="s">
        <v>1247</v>
      </c>
      <c r="F58" s="85"/>
      <c r="G58" s="20" t="s">
        <v>1654</v>
      </c>
      <c r="H58" s="11" t="s">
        <v>69</v>
      </c>
      <c r="I58" s="10">
        <f t="shared" si="1"/>
        <v>-216</v>
      </c>
      <c r="J58" s="16">
        <v>45906.0</v>
      </c>
      <c r="K58" s="16">
        <v>45541.0</v>
      </c>
      <c r="L58" s="11" t="s">
        <v>29</v>
      </c>
      <c r="M58" s="11" t="s">
        <v>1655</v>
      </c>
      <c r="N58" s="11" t="s">
        <v>1656</v>
      </c>
      <c r="O58" s="58" t="s">
        <v>1657</v>
      </c>
      <c r="P58" s="15" t="s">
        <v>1658</v>
      </c>
      <c r="Q58" s="26" t="s">
        <v>1170</v>
      </c>
      <c r="R58" s="26" t="s">
        <v>1659</v>
      </c>
      <c r="S58" s="26" t="s">
        <v>1660</v>
      </c>
      <c r="T58" s="26">
        <v>9.14426802E8</v>
      </c>
      <c r="U58" s="26">
        <v>6.3855065952E10</v>
      </c>
      <c r="V58" s="52">
        <v>35846.0</v>
      </c>
    </row>
    <row r="59">
      <c r="A59" s="13"/>
      <c r="B59" s="9" t="s">
        <v>1661</v>
      </c>
      <c r="C59" s="85" t="s">
        <v>1246</v>
      </c>
      <c r="D59" s="71" t="s">
        <v>1225</v>
      </c>
      <c r="E59" s="85"/>
      <c r="F59" s="85"/>
      <c r="G59" s="20" t="s">
        <v>1662</v>
      </c>
      <c r="H59" s="11" t="s">
        <v>28</v>
      </c>
      <c r="I59" s="10">
        <f t="shared" si="1"/>
        <v>-219</v>
      </c>
      <c r="J59" s="16">
        <v>45903.0</v>
      </c>
      <c r="K59" s="16">
        <v>45538.0</v>
      </c>
      <c r="L59" s="11" t="s">
        <v>86</v>
      </c>
      <c r="M59" s="11" t="s">
        <v>1663</v>
      </c>
      <c r="N59" s="11" t="s">
        <v>1664</v>
      </c>
      <c r="O59" s="58" t="s">
        <v>1665</v>
      </c>
      <c r="P59" s="15" t="s">
        <v>1666</v>
      </c>
      <c r="Q59" s="26" t="s">
        <v>398</v>
      </c>
      <c r="R59" s="26" t="s">
        <v>463</v>
      </c>
      <c r="S59" s="26" t="s">
        <v>1667</v>
      </c>
      <c r="T59" s="78"/>
      <c r="U59" s="78"/>
      <c r="V59" s="79"/>
    </row>
    <row r="60">
      <c r="A60" s="13"/>
      <c r="B60" s="9" t="s">
        <v>1668</v>
      </c>
      <c r="C60" s="85" t="s">
        <v>1235</v>
      </c>
      <c r="D60" s="71" t="s">
        <v>1225</v>
      </c>
      <c r="E60" s="85"/>
      <c r="F60" s="85" t="s">
        <v>1247</v>
      </c>
      <c r="G60" s="20" t="s">
        <v>1669</v>
      </c>
      <c r="H60" s="11" t="s">
        <v>28</v>
      </c>
      <c r="I60" s="10">
        <f t="shared" si="1"/>
        <v>141</v>
      </c>
      <c r="J60" s="16">
        <v>46263.0</v>
      </c>
      <c r="K60" s="16">
        <v>45533.0</v>
      </c>
      <c r="L60" s="11" t="s">
        <v>86</v>
      </c>
      <c r="M60" s="11" t="s">
        <v>1670</v>
      </c>
      <c r="N60" s="11">
        <v>9.77904588E8</v>
      </c>
      <c r="O60" s="58" t="s">
        <v>1671</v>
      </c>
      <c r="P60" s="15" t="s">
        <v>1672</v>
      </c>
      <c r="Q60" s="26" t="s">
        <v>943</v>
      </c>
      <c r="R60" s="26" t="s">
        <v>1673</v>
      </c>
      <c r="S60" s="26" t="s">
        <v>1674</v>
      </c>
      <c r="T60" s="26">
        <v>9.77904588E8</v>
      </c>
      <c r="U60" s="26">
        <v>3.9463474546E10</v>
      </c>
      <c r="V60" s="52">
        <v>33361.0</v>
      </c>
    </row>
    <row r="61">
      <c r="A61" s="13"/>
      <c r="B61" s="9" t="s">
        <v>1675</v>
      </c>
      <c r="C61" s="71" t="s">
        <v>1246</v>
      </c>
      <c r="D61" s="71" t="s">
        <v>1225</v>
      </c>
      <c r="E61" s="71"/>
      <c r="F61" s="71" t="s">
        <v>1247</v>
      </c>
      <c r="G61" s="29" t="s">
        <v>1676</v>
      </c>
      <c r="H61" s="11" t="s">
        <v>28</v>
      </c>
      <c r="I61" s="10">
        <f t="shared" si="1"/>
        <v>86</v>
      </c>
      <c r="J61" s="16">
        <v>46208.0</v>
      </c>
      <c r="K61" s="16">
        <v>45478.0</v>
      </c>
      <c r="L61" s="11" t="s">
        <v>86</v>
      </c>
      <c r="M61" s="11" t="s">
        <v>1677</v>
      </c>
      <c r="N61" s="11">
        <v>3.85993110233E11</v>
      </c>
      <c r="O61" s="58" t="s">
        <v>1678</v>
      </c>
      <c r="P61" s="15" t="s">
        <v>1679</v>
      </c>
      <c r="Q61" s="26" t="s">
        <v>44</v>
      </c>
      <c r="R61" s="26" t="s">
        <v>1680</v>
      </c>
      <c r="S61" s="26" t="s">
        <v>1681</v>
      </c>
      <c r="T61" s="26">
        <v>3.85996789496E11</v>
      </c>
      <c r="U61" s="26">
        <v>1.501992615E9</v>
      </c>
      <c r="V61" s="52">
        <v>31114.0</v>
      </c>
    </row>
    <row r="62">
      <c r="A62" s="13"/>
      <c r="B62" s="9" t="s">
        <v>1682</v>
      </c>
      <c r="C62" s="85"/>
      <c r="D62" s="85"/>
      <c r="E62" s="85"/>
      <c r="F62" s="85" t="s">
        <v>1247</v>
      </c>
      <c r="G62" s="20" t="s">
        <v>1683</v>
      </c>
      <c r="H62" s="11" t="s">
        <v>28</v>
      </c>
      <c r="I62" s="10">
        <f t="shared" si="1"/>
        <v>-318</v>
      </c>
      <c r="J62" s="16">
        <v>45804.0</v>
      </c>
      <c r="K62" s="16">
        <v>45439.0</v>
      </c>
      <c r="L62" s="11" t="s">
        <v>29</v>
      </c>
      <c r="M62" s="11" t="s">
        <v>1684</v>
      </c>
      <c r="N62" s="11">
        <v>1.6593766E7</v>
      </c>
      <c r="O62" s="58" t="s">
        <v>1685</v>
      </c>
      <c r="P62" s="15" t="s">
        <v>1686</v>
      </c>
      <c r="Q62" s="26" t="s">
        <v>315</v>
      </c>
      <c r="R62" s="26" t="s">
        <v>1687</v>
      </c>
      <c r="S62" s="26" t="s">
        <v>1688</v>
      </c>
      <c r="T62" s="26">
        <v>1.6593766E7</v>
      </c>
      <c r="U62" s="26">
        <v>1.0453799601E10</v>
      </c>
      <c r="V62" s="52">
        <v>26401.0</v>
      </c>
    </row>
    <row r="63">
      <c r="A63" s="13"/>
      <c r="B63" s="9" t="s">
        <v>1689</v>
      </c>
      <c r="C63" s="85" t="s">
        <v>1246</v>
      </c>
      <c r="D63" s="71" t="s">
        <v>1225</v>
      </c>
      <c r="E63" s="85"/>
      <c r="F63" s="85"/>
      <c r="G63" s="20" t="s">
        <v>1690</v>
      </c>
      <c r="H63" s="11" t="s">
        <v>28</v>
      </c>
      <c r="I63" s="10">
        <f t="shared" si="1"/>
        <v>35</v>
      </c>
      <c r="J63" s="16">
        <v>46157.0</v>
      </c>
      <c r="K63" s="16">
        <v>45427.0</v>
      </c>
      <c r="L63" s="11" t="s">
        <v>86</v>
      </c>
      <c r="M63" s="11" t="s">
        <v>1691</v>
      </c>
      <c r="N63" s="11">
        <v>9.2191951E8</v>
      </c>
      <c r="O63" s="58" t="s">
        <v>1692</v>
      </c>
      <c r="P63" s="15" t="s">
        <v>1693</v>
      </c>
      <c r="Q63" s="26" t="s">
        <v>1694</v>
      </c>
      <c r="R63" s="26" t="s">
        <v>1695</v>
      </c>
      <c r="S63" s="26" t="s">
        <v>1696</v>
      </c>
      <c r="T63" s="26">
        <v>9.89632451E8</v>
      </c>
      <c r="U63" s="26">
        <v>8.3070476729E10</v>
      </c>
      <c r="V63" s="52">
        <v>31182.0</v>
      </c>
    </row>
    <row r="64">
      <c r="A64" s="13"/>
      <c r="B64" s="9" t="s">
        <v>1697</v>
      </c>
      <c r="C64" s="71" t="s">
        <v>1224</v>
      </c>
      <c r="D64" s="71" t="s">
        <v>1225</v>
      </c>
      <c r="E64" s="71"/>
      <c r="F64" s="71" t="s">
        <v>1247</v>
      </c>
      <c r="G64" s="29" t="s">
        <v>1698</v>
      </c>
      <c r="H64" s="11" t="s">
        <v>28</v>
      </c>
      <c r="I64" s="10">
        <f t="shared" si="1"/>
        <v>27</v>
      </c>
      <c r="J64" s="16">
        <v>46149.0</v>
      </c>
      <c r="K64" s="16">
        <v>45419.0</v>
      </c>
      <c r="L64" s="11" t="s">
        <v>86</v>
      </c>
      <c r="M64" s="11" t="s">
        <v>1699</v>
      </c>
      <c r="N64" s="11">
        <v>9.94646013E8</v>
      </c>
      <c r="O64" s="58" t="s">
        <v>1700</v>
      </c>
      <c r="P64" s="15" t="s">
        <v>1701</v>
      </c>
      <c r="Q64" s="26" t="s">
        <v>947</v>
      </c>
      <c r="R64" s="26" t="s">
        <v>948</v>
      </c>
      <c r="S64" s="26" t="s">
        <v>949</v>
      </c>
      <c r="T64" s="26">
        <v>9.94646013E8</v>
      </c>
      <c r="U64" s="26">
        <v>6.0210051496E10</v>
      </c>
      <c r="V64" s="84">
        <v>35366.0</v>
      </c>
      <c r="W64" s="11" t="s">
        <v>1702</v>
      </c>
      <c r="X64" s="11" t="s">
        <v>1703</v>
      </c>
    </row>
    <row r="65">
      <c r="A65" s="13"/>
      <c r="B65" s="9" t="s">
        <v>1704</v>
      </c>
      <c r="C65" s="71" t="s">
        <v>1246</v>
      </c>
      <c r="D65" s="71" t="s">
        <v>1225</v>
      </c>
      <c r="E65" s="71"/>
      <c r="F65" s="71" t="s">
        <v>1247</v>
      </c>
      <c r="G65" s="29" t="s">
        <v>1705</v>
      </c>
      <c r="H65" s="11" t="s">
        <v>28</v>
      </c>
      <c r="I65" s="10">
        <f t="shared" si="1"/>
        <v>352</v>
      </c>
      <c r="J65" s="16">
        <v>46474.0</v>
      </c>
      <c r="K65" s="16">
        <v>45379.0</v>
      </c>
      <c r="L65" s="11" t="s">
        <v>86</v>
      </c>
      <c r="M65" s="11" t="s">
        <v>1706</v>
      </c>
      <c r="N65" s="11" t="s">
        <v>1707</v>
      </c>
      <c r="O65" s="58" t="s">
        <v>1708</v>
      </c>
      <c r="P65" s="15" t="s">
        <v>1709</v>
      </c>
      <c r="Q65" s="26" t="s">
        <v>1327</v>
      </c>
      <c r="R65" s="26" t="s">
        <v>1710</v>
      </c>
      <c r="S65" s="26" t="s">
        <v>1711</v>
      </c>
      <c r="T65" s="26" t="s">
        <v>1707</v>
      </c>
      <c r="U65" s="26">
        <v>4.2665265097E10</v>
      </c>
      <c r="V65" s="52">
        <v>33778.0</v>
      </c>
    </row>
    <row r="66">
      <c r="A66" s="13"/>
      <c r="B66" s="9" t="s">
        <v>1712</v>
      </c>
      <c r="C66" s="71"/>
      <c r="D66" s="71"/>
      <c r="E66" s="71"/>
      <c r="F66" s="70"/>
      <c r="G66" s="29" t="s">
        <v>1713</v>
      </c>
      <c r="H66" s="11" t="s">
        <v>28</v>
      </c>
      <c r="I66" s="10">
        <f t="shared" si="1"/>
        <v>-381</v>
      </c>
      <c r="J66" s="16">
        <v>45741.0</v>
      </c>
      <c r="K66" s="16">
        <v>45376.0</v>
      </c>
      <c r="L66" s="11" t="s">
        <v>29</v>
      </c>
      <c r="M66" s="11" t="s">
        <v>1714</v>
      </c>
      <c r="N66" s="11">
        <v>4.8270737E7</v>
      </c>
      <c r="O66" s="58" t="s">
        <v>1715</v>
      </c>
      <c r="P66" s="15" t="s">
        <v>1716</v>
      </c>
      <c r="Q66" s="26" t="s">
        <v>1717</v>
      </c>
      <c r="R66" s="26" t="s">
        <v>1718</v>
      </c>
      <c r="S66" s="26" t="s">
        <v>1719</v>
      </c>
      <c r="T66" s="26">
        <v>9.15100876E8</v>
      </c>
      <c r="U66" s="26">
        <v>2.5869461692E10</v>
      </c>
      <c r="V66" s="52">
        <v>26705.0</v>
      </c>
    </row>
    <row r="67">
      <c r="A67" s="13"/>
      <c r="B67" s="9" t="s">
        <v>1720</v>
      </c>
      <c r="C67" s="71" t="s">
        <v>1246</v>
      </c>
      <c r="D67" s="71" t="s">
        <v>1225</v>
      </c>
      <c r="E67" s="71"/>
      <c r="F67" s="71" t="s">
        <v>1247</v>
      </c>
      <c r="G67" s="20" t="s">
        <v>1721</v>
      </c>
      <c r="H67" s="11" t="s">
        <v>28</v>
      </c>
      <c r="I67" s="10">
        <f t="shared" si="1"/>
        <v>-26</v>
      </c>
      <c r="J67" s="16">
        <v>46096.0</v>
      </c>
      <c r="K67" s="16">
        <v>45366.0</v>
      </c>
      <c r="L67" s="11" t="s">
        <v>86</v>
      </c>
      <c r="M67" s="11" t="s">
        <v>1722</v>
      </c>
      <c r="N67" s="11">
        <v>9.56633214E8</v>
      </c>
      <c r="O67" s="58" t="s">
        <v>1723</v>
      </c>
      <c r="P67" s="15" t="s">
        <v>1724</v>
      </c>
      <c r="Q67" s="26" t="s">
        <v>1725</v>
      </c>
      <c r="R67" s="26" t="s">
        <v>1726</v>
      </c>
      <c r="S67" s="26" t="s">
        <v>1727</v>
      </c>
      <c r="T67" s="26">
        <v>9.56633214E8</v>
      </c>
      <c r="U67" s="78"/>
      <c r="V67" s="79"/>
    </row>
    <row r="68">
      <c r="A68" s="13"/>
      <c r="B68" s="9" t="s">
        <v>1728</v>
      </c>
      <c r="C68" s="71"/>
      <c r="D68" s="71"/>
      <c r="E68" s="71"/>
      <c r="F68" s="70"/>
      <c r="G68" s="29" t="s">
        <v>1729</v>
      </c>
      <c r="H68" s="11" t="s">
        <v>28</v>
      </c>
      <c r="I68" s="10">
        <f t="shared" si="1"/>
        <v>-398</v>
      </c>
      <c r="J68" s="12">
        <v>45724.0</v>
      </c>
      <c r="K68" s="12">
        <v>45359.0</v>
      </c>
      <c r="L68" s="11" t="s">
        <v>29</v>
      </c>
      <c r="M68" s="11" t="s">
        <v>1730</v>
      </c>
      <c r="N68" s="11">
        <v>9.94153809E8</v>
      </c>
      <c r="O68" s="58" t="s">
        <v>1731</v>
      </c>
      <c r="P68" s="15" t="s">
        <v>1732</v>
      </c>
      <c r="Q68" s="26" t="s">
        <v>1497</v>
      </c>
      <c r="R68" s="26" t="s">
        <v>1733</v>
      </c>
      <c r="S68" s="26" t="s">
        <v>1730</v>
      </c>
      <c r="T68" s="26">
        <v>9.94153809E8</v>
      </c>
      <c r="U68" s="26">
        <v>9.5589266967E10</v>
      </c>
      <c r="V68" s="52">
        <v>32879.0</v>
      </c>
    </row>
    <row r="69">
      <c r="A69" s="13"/>
      <c r="B69" s="9" t="s">
        <v>1734</v>
      </c>
      <c r="C69" s="85" t="s">
        <v>1246</v>
      </c>
      <c r="D69" s="71" t="s">
        <v>1225</v>
      </c>
      <c r="E69" s="85"/>
      <c r="F69" s="85"/>
      <c r="G69" s="20" t="s">
        <v>1735</v>
      </c>
      <c r="H69" s="11" t="s">
        <v>28</v>
      </c>
      <c r="I69" s="10">
        <f t="shared" si="1"/>
        <v>-33</v>
      </c>
      <c r="J69" s="12">
        <v>46089.0</v>
      </c>
      <c r="K69" s="12">
        <v>45359.0</v>
      </c>
      <c r="L69" s="11" t="s">
        <v>86</v>
      </c>
      <c r="M69" s="11" t="s">
        <v>1736</v>
      </c>
      <c r="N69" s="11" t="s">
        <v>1737</v>
      </c>
      <c r="O69" s="58" t="s">
        <v>1738</v>
      </c>
      <c r="P69" s="15" t="s">
        <v>1739</v>
      </c>
      <c r="Q69" s="26" t="s">
        <v>1740</v>
      </c>
      <c r="R69" s="26" t="s">
        <v>1741</v>
      </c>
      <c r="S69" s="26" t="s">
        <v>1742</v>
      </c>
      <c r="T69" s="26" t="s">
        <v>1743</v>
      </c>
      <c r="U69" s="26">
        <v>4.2072926232E10</v>
      </c>
      <c r="V69" s="52">
        <v>31826.0</v>
      </c>
    </row>
    <row r="70">
      <c r="A70" s="13"/>
      <c r="B70" s="88" t="s">
        <v>1744</v>
      </c>
      <c r="C70" s="85" t="s">
        <v>1246</v>
      </c>
      <c r="D70" s="71" t="s">
        <v>1225</v>
      </c>
      <c r="E70" s="85" t="s">
        <v>1247</v>
      </c>
      <c r="F70" s="85" t="s">
        <v>1247</v>
      </c>
      <c r="G70" s="20" t="s">
        <v>1745</v>
      </c>
      <c r="H70" s="11" t="s">
        <v>28</v>
      </c>
      <c r="I70" s="10">
        <f t="shared" si="1"/>
        <v>-34</v>
      </c>
      <c r="J70" s="16">
        <v>46088.0</v>
      </c>
      <c r="K70" s="16">
        <v>45358.0</v>
      </c>
      <c r="L70" s="11" t="s">
        <v>86</v>
      </c>
      <c r="M70" s="11" t="s">
        <v>1746</v>
      </c>
      <c r="N70" s="11">
        <v>3.85914365401E11</v>
      </c>
      <c r="O70" s="58" t="s">
        <v>1747</v>
      </c>
      <c r="P70" s="15" t="s">
        <v>1748</v>
      </c>
      <c r="Q70" s="26" t="s">
        <v>1749</v>
      </c>
      <c r="R70" s="26" t="s">
        <v>1750</v>
      </c>
      <c r="S70" s="26" t="s">
        <v>1751</v>
      </c>
      <c r="T70" s="26">
        <v>3.85918877111E11</v>
      </c>
      <c r="U70" s="78"/>
      <c r="V70" s="79"/>
    </row>
    <row r="71">
      <c r="A71" s="13"/>
      <c r="B71" s="89" t="s">
        <v>1752</v>
      </c>
      <c r="C71" s="85" t="s">
        <v>1246</v>
      </c>
      <c r="D71" s="71" t="s">
        <v>1225</v>
      </c>
      <c r="E71" s="85"/>
      <c r="F71" s="85" t="s">
        <v>1247</v>
      </c>
      <c r="G71" s="20" t="s">
        <v>1753</v>
      </c>
      <c r="H71" s="11" t="s">
        <v>28</v>
      </c>
      <c r="I71" s="10">
        <f t="shared" si="1"/>
        <v>329</v>
      </c>
      <c r="J71" s="16">
        <v>46451.0</v>
      </c>
      <c r="K71" s="16">
        <v>45356.0</v>
      </c>
      <c r="L71" s="11" t="s">
        <v>86</v>
      </c>
      <c r="M71" s="11" t="s">
        <v>1754</v>
      </c>
      <c r="N71" s="11">
        <v>3.1777257E7</v>
      </c>
      <c r="O71" s="58" t="s">
        <v>1755</v>
      </c>
      <c r="P71" s="15" t="s">
        <v>1756</v>
      </c>
      <c r="Q71" s="26" t="s">
        <v>285</v>
      </c>
      <c r="R71" s="26" t="s">
        <v>1757</v>
      </c>
      <c r="S71" s="26" t="s">
        <v>1758</v>
      </c>
      <c r="T71" s="26">
        <v>9.18989541E8</v>
      </c>
      <c r="U71" s="26">
        <v>5.8723331255E10</v>
      </c>
      <c r="V71" s="52">
        <v>32254.0</v>
      </c>
    </row>
    <row r="72">
      <c r="A72" s="13"/>
      <c r="B72" s="88" t="s">
        <v>1759</v>
      </c>
      <c r="C72" s="71"/>
      <c r="D72" s="71"/>
      <c r="E72" s="71"/>
      <c r="F72" s="70"/>
      <c r="G72" s="29" t="s">
        <v>1760</v>
      </c>
      <c r="H72" s="11" t="s">
        <v>28</v>
      </c>
      <c r="I72" s="10">
        <f t="shared" si="1"/>
        <v>-402</v>
      </c>
      <c r="J72" s="16">
        <v>45720.0</v>
      </c>
      <c r="K72" s="16">
        <v>45355.0</v>
      </c>
      <c r="L72" s="11" t="s">
        <v>29</v>
      </c>
      <c r="M72" s="11" t="s">
        <v>1761</v>
      </c>
      <c r="N72" s="11">
        <v>9.81973982E8</v>
      </c>
      <c r="O72" s="58" t="s">
        <v>1762</v>
      </c>
      <c r="P72" s="15" t="s">
        <v>1763</v>
      </c>
      <c r="Q72" s="26" t="s">
        <v>214</v>
      </c>
      <c r="R72" s="26" t="s">
        <v>1764</v>
      </c>
      <c r="S72" s="26" t="s">
        <v>1761</v>
      </c>
      <c r="T72" s="26">
        <v>9.81973982E8</v>
      </c>
      <c r="U72" s="26">
        <v>3.5297200001E10</v>
      </c>
      <c r="V72" s="52">
        <v>34075.0</v>
      </c>
    </row>
    <row r="73">
      <c r="A73" s="13"/>
      <c r="B73" s="90" t="s">
        <v>1765</v>
      </c>
      <c r="C73" s="71" t="s">
        <v>1224</v>
      </c>
      <c r="D73" s="71" t="s">
        <v>1225</v>
      </c>
      <c r="E73" s="71"/>
      <c r="F73" s="71" t="s">
        <v>1247</v>
      </c>
      <c r="G73" s="20" t="s">
        <v>1766</v>
      </c>
      <c r="H73" s="11" t="s">
        <v>28</v>
      </c>
      <c r="I73" s="10">
        <f t="shared" si="1"/>
        <v>309</v>
      </c>
      <c r="J73" s="16">
        <v>46431.0</v>
      </c>
      <c r="K73" s="91">
        <v>45335.0</v>
      </c>
      <c r="L73" s="11" t="s">
        <v>86</v>
      </c>
      <c r="M73" s="18" t="s">
        <v>1767</v>
      </c>
      <c r="N73" s="11">
        <v>9.52587483E8</v>
      </c>
      <c r="O73" s="58" t="s">
        <v>1768</v>
      </c>
      <c r="P73" s="15" t="s">
        <v>1769</v>
      </c>
      <c r="Q73" s="26" t="s">
        <v>340</v>
      </c>
      <c r="R73" s="26" t="s">
        <v>1770</v>
      </c>
      <c r="S73" s="26" t="s">
        <v>1771</v>
      </c>
      <c r="T73" s="26">
        <v>9.52587483E8</v>
      </c>
      <c r="U73" s="26">
        <v>7.511654905E10</v>
      </c>
      <c r="V73" s="92">
        <v>31094.0</v>
      </c>
      <c r="W73" s="11" t="s">
        <v>1772</v>
      </c>
      <c r="X73" s="11" t="s">
        <v>1773</v>
      </c>
      <c r="Y73" s="11" t="s">
        <v>1774</v>
      </c>
      <c r="Z73" s="11">
        <v>9.52587495E8</v>
      </c>
      <c r="AA73" s="11">
        <v>8.0002112759E10</v>
      </c>
      <c r="AB73" s="30">
        <v>35201.0</v>
      </c>
    </row>
    <row r="74">
      <c r="A74" s="13"/>
      <c r="B74" s="9" t="s">
        <v>1775</v>
      </c>
      <c r="C74" s="85"/>
      <c r="D74" s="85"/>
      <c r="E74" s="85"/>
      <c r="F74" s="85"/>
      <c r="G74" s="20" t="s">
        <v>1776</v>
      </c>
      <c r="H74" s="11" t="s">
        <v>28</v>
      </c>
      <c r="I74" s="10">
        <f t="shared" si="1"/>
        <v>-429</v>
      </c>
      <c r="J74" s="16">
        <v>45693.0</v>
      </c>
      <c r="K74" s="16">
        <v>45327.0</v>
      </c>
      <c r="L74" s="11" t="s">
        <v>29</v>
      </c>
      <c r="M74" s="11" t="s">
        <v>1777</v>
      </c>
      <c r="N74" s="11" t="s">
        <v>1778</v>
      </c>
      <c r="O74" s="58" t="s">
        <v>1779</v>
      </c>
      <c r="P74" s="15" t="s">
        <v>1780</v>
      </c>
      <c r="Q74" s="26" t="s">
        <v>1781</v>
      </c>
      <c r="R74" s="26" t="s">
        <v>1782</v>
      </c>
      <c r="S74" s="26" t="s">
        <v>1783</v>
      </c>
      <c r="T74" s="26" t="s">
        <v>1778</v>
      </c>
      <c r="U74" s="78"/>
      <c r="V74" s="79"/>
    </row>
    <row r="75">
      <c r="A75" s="13"/>
      <c r="B75" s="88" t="s">
        <v>1784</v>
      </c>
      <c r="C75" s="85" t="s">
        <v>1224</v>
      </c>
      <c r="D75" s="71" t="s">
        <v>1225</v>
      </c>
      <c r="E75" s="85"/>
      <c r="F75" s="85" t="s">
        <v>1247</v>
      </c>
      <c r="G75" s="20" t="s">
        <v>1785</v>
      </c>
      <c r="H75" s="11" t="s">
        <v>28</v>
      </c>
      <c r="I75" s="10">
        <f t="shared" si="1"/>
        <v>291</v>
      </c>
      <c r="J75" s="16">
        <v>46413.0</v>
      </c>
      <c r="K75" s="16">
        <v>45318.0</v>
      </c>
      <c r="L75" s="11" t="s">
        <v>86</v>
      </c>
      <c r="M75" s="11" t="s">
        <v>1786</v>
      </c>
      <c r="N75" s="11">
        <v>9.11402969E8</v>
      </c>
      <c r="O75" s="58" t="s">
        <v>1787</v>
      </c>
      <c r="P75" s="15" t="s">
        <v>1788</v>
      </c>
      <c r="Q75" s="26" t="s">
        <v>569</v>
      </c>
      <c r="R75" s="26" t="s">
        <v>1789</v>
      </c>
      <c r="S75" s="26" t="s">
        <v>1790</v>
      </c>
      <c r="T75" s="26">
        <v>9.15933637E8</v>
      </c>
      <c r="U75" s="26">
        <v>2.683738944E9</v>
      </c>
      <c r="V75" s="84">
        <v>31392.0</v>
      </c>
      <c r="W75" s="11" t="s">
        <v>1791</v>
      </c>
      <c r="X75" s="11" t="s">
        <v>1792</v>
      </c>
      <c r="Y75" s="11" t="s">
        <v>1793</v>
      </c>
      <c r="Z75" s="11">
        <v>9.11402969E8</v>
      </c>
      <c r="AA75" s="11">
        <v>4.0945734007E10</v>
      </c>
      <c r="AB75" s="16">
        <v>25248.0</v>
      </c>
    </row>
    <row r="76">
      <c r="A76" s="13"/>
      <c r="B76" s="9" t="s">
        <v>1794</v>
      </c>
      <c r="C76" s="71" t="s">
        <v>1224</v>
      </c>
      <c r="D76" s="71" t="s">
        <v>1225</v>
      </c>
      <c r="E76" s="71"/>
      <c r="F76" s="70"/>
      <c r="G76" s="29" t="s">
        <v>1795</v>
      </c>
      <c r="H76" s="11" t="s">
        <v>28</v>
      </c>
      <c r="I76" s="10">
        <f t="shared" si="1"/>
        <v>-74</v>
      </c>
      <c r="J76" s="16">
        <v>46048.0</v>
      </c>
      <c r="K76" s="16">
        <v>45317.0</v>
      </c>
      <c r="L76" s="11" t="s">
        <v>86</v>
      </c>
      <c r="M76" s="11" t="s">
        <v>1796</v>
      </c>
      <c r="N76" s="11" t="s">
        <v>1797</v>
      </c>
      <c r="O76" s="58" t="s">
        <v>1798</v>
      </c>
      <c r="P76" s="15" t="s">
        <v>1799</v>
      </c>
      <c r="Q76" s="26" t="s">
        <v>353</v>
      </c>
      <c r="R76" s="26" t="s">
        <v>1800</v>
      </c>
      <c r="S76" s="26" t="s">
        <v>1801</v>
      </c>
      <c r="T76" s="26">
        <v>9.92023932E8</v>
      </c>
      <c r="U76" s="26">
        <v>1.436721881E9</v>
      </c>
      <c r="V76" s="77">
        <v>32958.0</v>
      </c>
    </row>
    <row r="77">
      <c r="A77" s="13"/>
      <c r="B77" s="9" t="s">
        <v>1802</v>
      </c>
      <c r="C77" s="85" t="s">
        <v>1246</v>
      </c>
      <c r="D77" s="71" t="s">
        <v>1225</v>
      </c>
      <c r="E77" s="85"/>
      <c r="F77" s="85" t="s">
        <v>1247</v>
      </c>
      <c r="G77" s="20" t="s">
        <v>1803</v>
      </c>
      <c r="H77" s="11" t="s">
        <v>28</v>
      </c>
      <c r="I77" s="10">
        <f t="shared" si="1"/>
        <v>-74</v>
      </c>
      <c r="J77" s="16">
        <v>46048.0</v>
      </c>
      <c r="K77" s="16">
        <v>45306.0</v>
      </c>
      <c r="L77" s="11" t="s">
        <v>86</v>
      </c>
      <c r="M77" s="11" t="s">
        <v>1804</v>
      </c>
      <c r="N77" s="11">
        <v>1.559512E7</v>
      </c>
      <c r="O77" s="58" t="s">
        <v>1805</v>
      </c>
      <c r="P77" s="15" t="s">
        <v>1806</v>
      </c>
      <c r="Q77" s="26" t="s">
        <v>1807</v>
      </c>
      <c r="R77" s="93" t="s">
        <v>1808</v>
      </c>
      <c r="S77" s="26" t="s">
        <v>1809</v>
      </c>
      <c r="T77" s="26"/>
      <c r="U77" s="26"/>
      <c r="V77" s="52"/>
    </row>
    <row r="78">
      <c r="A78" s="13"/>
      <c r="B78" s="9" t="s">
        <v>1810</v>
      </c>
      <c r="C78" s="71" t="s">
        <v>1224</v>
      </c>
      <c r="D78" s="71" t="s">
        <v>1225</v>
      </c>
      <c r="E78" s="71"/>
      <c r="F78" s="70"/>
      <c r="G78" s="29" t="s">
        <v>1811</v>
      </c>
      <c r="H78" s="11" t="s">
        <v>28</v>
      </c>
      <c r="I78" s="10">
        <f t="shared" si="1"/>
        <v>277</v>
      </c>
      <c r="J78" s="16">
        <v>46399.0</v>
      </c>
      <c r="K78" s="16">
        <v>45303.0</v>
      </c>
      <c r="L78" s="11" t="s">
        <v>86</v>
      </c>
      <c r="M78" s="11" t="s">
        <v>1812</v>
      </c>
      <c r="N78" s="11">
        <v>9.8436766E7</v>
      </c>
      <c r="O78" s="58" t="s">
        <v>1813</v>
      </c>
      <c r="P78" s="15" t="s">
        <v>1814</v>
      </c>
      <c r="Q78" s="26" t="s">
        <v>993</v>
      </c>
      <c r="R78" s="26" t="s">
        <v>1815</v>
      </c>
      <c r="S78" s="26" t="s">
        <v>1816</v>
      </c>
      <c r="T78" s="26">
        <v>9.8436766E7</v>
      </c>
      <c r="U78" s="26">
        <v>1.3331281839E10</v>
      </c>
      <c r="V78" s="92">
        <v>29907.0</v>
      </c>
    </row>
    <row r="79">
      <c r="A79" s="13"/>
      <c r="B79" s="9" t="s">
        <v>1817</v>
      </c>
      <c r="C79" s="71" t="s">
        <v>1224</v>
      </c>
      <c r="D79" s="71" t="s">
        <v>1225</v>
      </c>
      <c r="E79" s="71"/>
      <c r="F79" s="70"/>
      <c r="G79" s="29" t="s">
        <v>1818</v>
      </c>
      <c r="H79" s="11" t="s">
        <v>28</v>
      </c>
      <c r="I79" s="10">
        <f t="shared" si="1"/>
        <v>270</v>
      </c>
      <c r="J79" s="16">
        <v>46392.0</v>
      </c>
      <c r="K79" s="16">
        <v>45296.0</v>
      </c>
      <c r="L79" s="11" t="s">
        <v>86</v>
      </c>
      <c r="M79" s="11" t="s">
        <v>1819</v>
      </c>
      <c r="O79" s="58" t="s">
        <v>1820</v>
      </c>
      <c r="P79" s="15" t="s">
        <v>1821</v>
      </c>
      <c r="Q79" s="26" t="s">
        <v>1822</v>
      </c>
      <c r="R79" s="26" t="s">
        <v>1823</v>
      </c>
      <c r="S79" s="26" t="s">
        <v>1824</v>
      </c>
      <c r="T79" s="78"/>
      <c r="U79" s="26">
        <v>8.8940999313E10</v>
      </c>
      <c r="V79" s="92">
        <v>21993.0</v>
      </c>
    </row>
    <row r="80">
      <c r="A80" s="13"/>
      <c r="B80" s="9" t="s">
        <v>1825</v>
      </c>
      <c r="C80" s="71" t="s">
        <v>1246</v>
      </c>
      <c r="D80" s="71" t="s">
        <v>1225</v>
      </c>
      <c r="E80" s="71"/>
      <c r="F80" s="70"/>
      <c r="G80" s="29" t="s">
        <v>1826</v>
      </c>
      <c r="H80" s="11" t="s">
        <v>28</v>
      </c>
      <c r="I80" s="10">
        <f t="shared" si="1"/>
        <v>134</v>
      </c>
      <c r="J80" s="12">
        <v>46256.0</v>
      </c>
      <c r="K80" s="12">
        <v>45291.0</v>
      </c>
      <c r="L80" s="11" t="s">
        <v>86</v>
      </c>
      <c r="M80" s="11" t="s">
        <v>1827</v>
      </c>
      <c r="N80" s="11" t="s">
        <v>1828</v>
      </c>
      <c r="O80" s="58" t="s">
        <v>1829</v>
      </c>
      <c r="P80" s="15" t="s">
        <v>1830</v>
      </c>
      <c r="Q80" s="26" t="s">
        <v>1831</v>
      </c>
      <c r="R80" s="26" t="s">
        <v>1832</v>
      </c>
      <c r="S80" s="11" t="s">
        <v>1833</v>
      </c>
      <c r="T80" s="26" t="s">
        <v>1834</v>
      </c>
      <c r="U80" s="78"/>
      <c r="V80" s="79"/>
    </row>
    <row r="81">
      <c r="A81" s="13"/>
      <c r="B81" s="9" t="s">
        <v>1835</v>
      </c>
      <c r="C81" s="71" t="s">
        <v>1235</v>
      </c>
      <c r="D81" s="71" t="s">
        <v>1225</v>
      </c>
      <c r="E81" s="71"/>
      <c r="F81" s="70"/>
      <c r="G81" s="29" t="s">
        <v>1836</v>
      </c>
      <c r="H81" s="11" t="s">
        <v>28</v>
      </c>
      <c r="I81" s="10">
        <f t="shared" si="1"/>
        <v>628</v>
      </c>
      <c r="J81" s="12">
        <v>46750.0</v>
      </c>
      <c r="K81" s="12">
        <v>45289.0</v>
      </c>
      <c r="L81" s="11" t="s">
        <v>86</v>
      </c>
      <c r="M81" s="11" t="s">
        <v>1837</v>
      </c>
      <c r="O81" s="58" t="s">
        <v>1838</v>
      </c>
      <c r="P81" s="15" t="s">
        <v>1839</v>
      </c>
      <c r="Q81" s="26" t="s">
        <v>285</v>
      </c>
      <c r="R81" s="26" t="s">
        <v>1840</v>
      </c>
      <c r="S81" s="26" t="s">
        <v>1841</v>
      </c>
      <c r="T81" s="78"/>
      <c r="U81" s="26">
        <v>7.8492666264E10</v>
      </c>
      <c r="V81" s="92">
        <v>30614.0</v>
      </c>
    </row>
    <row r="82">
      <c r="A82" s="13"/>
      <c r="B82" s="9" t="s">
        <v>1842</v>
      </c>
      <c r="C82" s="71"/>
      <c r="D82" s="71"/>
      <c r="E82" s="71"/>
      <c r="F82" s="71" t="s">
        <v>1247</v>
      </c>
      <c r="G82" s="11" t="s">
        <v>1843</v>
      </c>
      <c r="H82" s="11" t="s">
        <v>28</v>
      </c>
      <c r="I82" s="10">
        <f t="shared" si="1"/>
        <v>-102</v>
      </c>
      <c r="J82" s="12">
        <v>46020.0</v>
      </c>
      <c r="K82" s="12">
        <v>45289.0</v>
      </c>
      <c r="L82" s="11" t="s">
        <v>86</v>
      </c>
      <c r="M82" s="11" t="s">
        <v>1844</v>
      </c>
      <c r="O82" s="58" t="s">
        <v>1845</v>
      </c>
      <c r="P82" s="15" t="s">
        <v>1846</v>
      </c>
      <c r="Q82" s="26" t="s">
        <v>376</v>
      </c>
      <c r="R82" s="26" t="s">
        <v>1847</v>
      </c>
      <c r="S82" s="26" t="s">
        <v>1844</v>
      </c>
      <c r="T82" s="78"/>
      <c r="U82" s="26">
        <v>3.009499406E9</v>
      </c>
      <c r="V82" s="92">
        <v>32348.0</v>
      </c>
    </row>
    <row r="83">
      <c r="A83" s="13"/>
      <c r="B83" s="9" t="s">
        <v>1848</v>
      </c>
      <c r="C83" s="71" t="s">
        <v>1246</v>
      </c>
      <c r="D83" s="71" t="s">
        <v>1225</v>
      </c>
      <c r="E83" s="71"/>
      <c r="F83" s="70"/>
      <c r="G83" s="29" t="s">
        <v>1849</v>
      </c>
      <c r="H83" s="11" t="s">
        <v>28</v>
      </c>
      <c r="I83" s="10">
        <f t="shared" si="1"/>
        <v>-104</v>
      </c>
      <c r="J83" s="12">
        <v>46018.0</v>
      </c>
      <c r="K83" s="12">
        <v>45287.0</v>
      </c>
      <c r="L83" s="11" t="s">
        <v>86</v>
      </c>
      <c r="M83" s="11" t="s">
        <v>1850</v>
      </c>
      <c r="N83" s="10">
        <f>+38598577766</f>
        <v>38598577766</v>
      </c>
      <c r="O83" s="58" t="s">
        <v>1851</v>
      </c>
      <c r="P83" s="15" t="s">
        <v>1852</v>
      </c>
      <c r="Q83" s="26" t="s">
        <v>1853</v>
      </c>
      <c r="R83" s="26" t="s">
        <v>1854</v>
      </c>
      <c r="S83" s="26" t="s">
        <v>1855</v>
      </c>
      <c r="T83" s="78">
        <f>+38598577766</f>
        <v>38598577766</v>
      </c>
      <c r="U83" s="26">
        <v>6.5330681702E10</v>
      </c>
      <c r="V83" s="92">
        <v>33385.0</v>
      </c>
    </row>
    <row r="84">
      <c r="A84" s="9"/>
      <c r="B84" s="9" t="s">
        <v>1856</v>
      </c>
      <c r="C84" s="71"/>
      <c r="D84" s="71"/>
      <c r="E84" s="71"/>
      <c r="F84" s="70"/>
      <c r="G84" s="29" t="s">
        <v>1857</v>
      </c>
      <c r="H84" s="11" t="s">
        <v>28</v>
      </c>
      <c r="I84" s="10">
        <f t="shared" si="1"/>
        <v>-475</v>
      </c>
      <c r="J84" s="12">
        <v>45647.0</v>
      </c>
      <c r="K84" s="12">
        <v>45281.0</v>
      </c>
      <c r="L84" s="11" t="s">
        <v>29</v>
      </c>
      <c r="M84" s="11" t="s">
        <v>1858</v>
      </c>
      <c r="N84" s="11">
        <v>9.92244406E8</v>
      </c>
      <c r="O84" s="58" t="s">
        <v>1859</v>
      </c>
      <c r="P84" s="15" t="s">
        <v>1860</v>
      </c>
      <c r="Q84" s="26" t="s">
        <v>34</v>
      </c>
      <c r="R84" s="26" t="s">
        <v>1861</v>
      </c>
      <c r="S84" s="26" t="s">
        <v>1858</v>
      </c>
      <c r="T84" s="26">
        <v>9.92244406E8</v>
      </c>
      <c r="U84" s="26" t="s">
        <v>1858</v>
      </c>
      <c r="V84" s="92">
        <v>45280.0</v>
      </c>
    </row>
    <row r="85">
      <c r="A85" s="13"/>
      <c r="B85" s="9" t="s">
        <v>1862</v>
      </c>
      <c r="C85" s="71" t="s">
        <v>1224</v>
      </c>
      <c r="D85" s="71" t="s">
        <v>1225</v>
      </c>
      <c r="E85" s="71"/>
      <c r="F85" s="70"/>
      <c r="G85" s="29" t="s">
        <v>1863</v>
      </c>
      <c r="H85" s="11" t="s">
        <v>28</v>
      </c>
      <c r="I85" s="10">
        <f t="shared" si="1"/>
        <v>-111</v>
      </c>
      <c r="J85" s="12">
        <v>46011.0</v>
      </c>
      <c r="K85" s="12">
        <v>45280.0</v>
      </c>
      <c r="L85" s="11" t="s">
        <v>86</v>
      </c>
      <c r="M85" s="11" t="s">
        <v>1864</v>
      </c>
      <c r="N85" s="11" t="s">
        <v>1865</v>
      </c>
      <c r="O85" s="58" t="s">
        <v>1866</v>
      </c>
      <c r="P85" s="15" t="s">
        <v>1867</v>
      </c>
      <c r="Q85" s="26" t="s">
        <v>34</v>
      </c>
      <c r="R85" s="26" t="s">
        <v>1868</v>
      </c>
      <c r="S85" s="26" t="s">
        <v>1864</v>
      </c>
      <c r="T85" s="26" t="s">
        <v>1865</v>
      </c>
      <c r="U85" s="26">
        <v>9.5093143176E10</v>
      </c>
      <c r="V85" s="92">
        <v>30070.0</v>
      </c>
    </row>
    <row r="86">
      <c r="A86" s="13"/>
      <c r="B86" s="9" t="s">
        <v>1869</v>
      </c>
      <c r="C86" s="71"/>
      <c r="D86" s="71"/>
      <c r="E86" s="71"/>
      <c r="F86" s="71" t="s">
        <v>1247</v>
      </c>
      <c r="G86" s="29" t="s">
        <v>1870</v>
      </c>
      <c r="H86" s="11" t="s">
        <v>28</v>
      </c>
      <c r="I86" s="10">
        <f t="shared" si="1"/>
        <v>618</v>
      </c>
      <c r="J86" s="12">
        <v>46740.0</v>
      </c>
      <c r="K86" s="12">
        <v>45279.0</v>
      </c>
      <c r="L86" s="11" t="s">
        <v>86</v>
      </c>
      <c r="M86" s="11" t="s">
        <v>1871</v>
      </c>
      <c r="O86" s="58" t="s">
        <v>1872</v>
      </c>
      <c r="P86" s="15" t="s">
        <v>1873</v>
      </c>
      <c r="Q86" s="26" t="s">
        <v>57</v>
      </c>
      <c r="R86" s="26" t="s">
        <v>1874</v>
      </c>
      <c r="S86" s="26" t="s">
        <v>1871</v>
      </c>
      <c r="T86" s="26"/>
      <c r="U86" s="26">
        <v>5.606738615E10</v>
      </c>
      <c r="V86" s="92">
        <v>33549.0</v>
      </c>
    </row>
    <row r="87">
      <c r="A87" s="13"/>
      <c r="B87" s="9" t="s">
        <v>1875</v>
      </c>
      <c r="C87" s="71" t="s">
        <v>1246</v>
      </c>
      <c r="D87" s="71" t="s">
        <v>1225</v>
      </c>
      <c r="E87" s="71"/>
      <c r="F87" s="71" t="s">
        <v>1247</v>
      </c>
      <c r="G87" s="29" t="s">
        <v>1876</v>
      </c>
      <c r="H87" s="11" t="s">
        <v>28</v>
      </c>
      <c r="I87" s="10">
        <f t="shared" si="1"/>
        <v>-113</v>
      </c>
      <c r="J87" s="12">
        <v>46009.0</v>
      </c>
      <c r="K87" s="12">
        <v>45278.0</v>
      </c>
      <c r="L87" s="11" t="s">
        <v>86</v>
      </c>
      <c r="M87" s="11" t="s">
        <v>1877</v>
      </c>
      <c r="N87" s="11">
        <v>9.9450451E8</v>
      </c>
      <c r="O87" s="58" t="s">
        <v>1878</v>
      </c>
      <c r="P87" s="15" t="s">
        <v>1879</v>
      </c>
      <c r="Q87" s="26" t="s">
        <v>1880</v>
      </c>
      <c r="R87" s="26" t="s">
        <v>1881</v>
      </c>
      <c r="S87" s="26" t="s">
        <v>1882</v>
      </c>
      <c r="T87" s="26">
        <v>9.9450451E8</v>
      </c>
      <c r="U87" s="26">
        <v>4.4504233208E10</v>
      </c>
      <c r="V87" s="92">
        <v>22131.0</v>
      </c>
      <c r="AB87" s="23"/>
      <c r="AI87" s="34"/>
    </row>
    <row r="88">
      <c r="A88" s="13"/>
      <c r="B88" s="9" t="s">
        <v>1883</v>
      </c>
      <c r="C88" s="85" t="s">
        <v>1224</v>
      </c>
      <c r="D88" s="71" t="s">
        <v>1225</v>
      </c>
      <c r="E88" s="85"/>
      <c r="F88" s="85" t="s">
        <v>1247</v>
      </c>
      <c r="G88" s="20" t="s">
        <v>1884</v>
      </c>
      <c r="H88" s="11" t="s">
        <v>28</v>
      </c>
      <c r="I88" s="10">
        <f t="shared" si="1"/>
        <v>617</v>
      </c>
      <c r="J88" s="12">
        <v>46739.0</v>
      </c>
      <c r="K88" s="12">
        <v>45278.0</v>
      </c>
      <c r="L88" s="11" t="s">
        <v>86</v>
      </c>
      <c r="M88" s="11" t="s">
        <v>1885</v>
      </c>
      <c r="N88" s="11" t="s">
        <v>1886</v>
      </c>
      <c r="O88" s="58" t="s">
        <v>1887</v>
      </c>
      <c r="P88" s="15" t="s">
        <v>1888</v>
      </c>
      <c r="Q88" s="26" t="s">
        <v>592</v>
      </c>
      <c r="R88" s="26" t="s">
        <v>1889</v>
      </c>
      <c r="S88" s="26" t="s">
        <v>1890</v>
      </c>
      <c r="T88" s="26" t="s">
        <v>1886</v>
      </c>
      <c r="U88" s="26">
        <v>2.0450912055E10</v>
      </c>
      <c r="V88" s="92">
        <v>31768.0</v>
      </c>
    </row>
    <row r="89">
      <c r="A89" s="9"/>
      <c r="B89" s="13" t="s">
        <v>1891</v>
      </c>
      <c r="C89" s="70"/>
      <c r="D89" s="70"/>
      <c r="E89" s="70"/>
      <c r="F89" s="70"/>
      <c r="G89" s="10" t="s">
        <v>1892</v>
      </c>
      <c r="H89" s="11" t="s">
        <v>28</v>
      </c>
      <c r="I89" s="10">
        <f t="shared" si="1"/>
        <v>-489</v>
      </c>
      <c r="J89" s="16">
        <v>45633.0</v>
      </c>
      <c r="K89" s="16">
        <v>45267.0</v>
      </c>
      <c r="L89" s="11" t="s">
        <v>29</v>
      </c>
      <c r="M89" s="10" t="s">
        <v>1893</v>
      </c>
      <c r="N89" s="10" t="s">
        <v>1894</v>
      </c>
      <c r="O89" s="94" t="s">
        <v>1895</v>
      </c>
      <c r="P89" s="23" t="s">
        <v>1896</v>
      </c>
      <c r="Q89" s="26" t="s">
        <v>1897</v>
      </c>
      <c r="R89" s="26" t="s">
        <v>1898</v>
      </c>
      <c r="S89" s="26" t="s">
        <v>1899</v>
      </c>
      <c r="T89" s="26" t="s">
        <v>1894</v>
      </c>
      <c r="U89" s="26">
        <v>6.6832938713E10</v>
      </c>
      <c r="V89" s="52">
        <v>28727.0</v>
      </c>
    </row>
    <row r="90">
      <c r="A90" s="9"/>
      <c r="B90" s="13" t="s">
        <v>1900</v>
      </c>
      <c r="C90" s="71" t="s">
        <v>1224</v>
      </c>
      <c r="D90" s="71" t="s">
        <v>1225</v>
      </c>
      <c r="E90" s="70"/>
      <c r="F90" s="70"/>
      <c r="G90" s="10" t="s">
        <v>1901</v>
      </c>
      <c r="H90" s="11" t="s">
        <v>28</v>
      </c>
      <c r="I90" s="10">
        <f t="shared" si="1"/>
        <v>400</v>
      </c>
      <c r="J90" s="16">
        <v>46522.0</v>
      </c>
      <c r="K90" s="16">
        <v>45267.0</v>
      </c>
      <c r="L90" s="11" t="s">
        <v>86</v>
      </c>
      <c r="M90" s="10" t="s">
        <v>1902</v>
      </c>
      <c r="N90" s="10" t="s">
        <v>1894</v>
      </c>
      <c r="O90" s="94" t="s">
        <v>1903</v>
      </c>
      <c r="P90" s="23" t="s">
        <v>1896</v>
      </c>
      <c r="Q90" s="26" t="s">
        <v>1897</v>
      </c>
      <c r="R90" s="26" t="s">
        <v>1898</v>
      </c>
      <c r="S90" s="26" t="s">
        <v>1899</v>
      </c>
      <c r="T90" s="26" t="s">
        <v>1894</v>
      </c>
      <c r="U90" s="26">
        <v>6.6832938713E10</v>
      </c>
      <c r="V90" s="77">
        <v>28727.0</v>
      </c>
    </row>
    <row r="91">
      <c r="A91" s="13"/>
      <c r="B91" s="13" t="s">
        <v>1904</v>
      </c>
      <c r="C91" s="71" t="s">
        <v>1235</v>
      </c>
      <c r="D91" s="71" t="s">
        <v>1225</v>
      </c>
      <c r="E91" s="70"/>
      <c r="F91" s="71" t="s">
        <v>1247</v>
      </c>
      <c r="G91" s="10" t="s">
        <v>1905</v>
      </c>
      <c r="H91" s="11" t="s">
        <v>28</v>
      </c>
      <c r="I91" s="10">
        <f t="shared" si="1"/>
        <v>589</v>
      </c>
      <c r="J91" s="12">
        <v>46711.0</v>
      </c>
      <c r="K91" s="12">
        <v>45250.0</v>
      </c>
      <c r="L91" s="11" t="s">
        <v>86</v>
      </c>
      <c r="M91" s="10" t="s">
        <v>1906</v>
      </c>
      <c r="N91" s="10" t="s">
        <v>1907</v>
      </c>
      <c r="O91" s="94" t="s">
        <v>1908</v>
      </c>
      <c r="P91" s="23" t="s">
        <v>1909</v>
      </c>
      <c r="Q91" s="26" t="s">
        <v>376</v>
      </c>
      <c r="R91" s="26" t="s">
        <v>1910</v>
      </c>
      <c r="S91" s="26" t="s">
        <v>1911</v>
      </c>
      <c r="T91" s="26">
        <v>9.81644604E8</v>
      </c>
      <c r="U91" s="26">
        <v>9.2670950256E10</v>
      </c>
      <c r="V91" s="52">
        <v>30864.0</v>
      </c>
    </row>
    <row r="92">
      <c r="A92" s="13"/>
      <c r="B92" s="13" t="s">
        <v>1912</v>
      </c>
      <c r="C92" s="71" t="s">
        <v>1224</v>
      </c>
      <c r="D92" s="71" t="s">
        <v>1225</v>
      </c>
      <c r="E92" s="70"/>
      <c r="F92" s="70"/>
      <c r="G92" s="10" t="s">
        <v>1913</v>
      </c>
      <c r="H92" s="11" t="s">
        <v>28</v>
      </c>
      <c r="I92" s="10">
        <f t="shared" si="1"/>
        <v>570</v>
      </c>
      <c r="J92" s="16">
        <v>46692.0</v>
      </c>
      <c r="K92" s="16">
        <v>45231.0</v>
      </c>
      <c r="L92" s="11" t="s">
        <v>86</v>
      </c>
      <c r="M92" s="10" t="s">
        <v>1914</v>
      </c>
      <c r="O92" s="94" t="s">
        <v>1915</v>
      </c>
      <c r="P92" s="23" t="s">
        <v>1916</v>
      </c>
      <c r="Q92" s="26" t="s">
        <v>340</v>
      </c>
      <c r="R92" s="26" t="s">
        <v>426</v>
      </c>
      <c r="S92" s="26" t="s">
        <v>1917</v>
      </c>
      <c r="T92" s="78"/>
      <c r="U92" s="26">
        <v>9.2679644892E10</v>
      </c>
      <c r="V92" s="52">
        <v>31306.0</v>
      </c>
    </row>
    <row r="93">
      <c r="A93" s="13"/>
      <c r="B93" s="13" t="s">
        <v>1918</v>
      </c>
      <c r="C93" s="71" t="s">
        <v>1224</v>
      </c>
      <c r="D93" s="71" t="s">
        <v>1225</v>
      </c>
      <c r="E93" s="70"/>
      <c r="F93" s="71" t="s">
        <v>1247</v>
      </c>
      <c r="G93" s="10" t="s">
        <v>1919</v>
      </c>
      <c r="H93" s="11" t="s">
        <v>28</v>
      </c>
      <c r="I93" s="10">
        <f t="shared" si="1"/>
        <v>-162</v>
      </c>
      <c r="J93" s="12">
        <v>45960.0</v>
      </c>
      <c r="K93" s="12">
        <v>45229.0</v>
      </c>
      <c r="L93" s="11" t="s">
        <v>86</v>
      </c>
      <c r="M93" s="10" t="s">
        <v>1920</v>
      </c>
      <c r="N93" s="10" t="s">
        <v>1921</v>
      </c>
      <c r="O93" s="94" t="s">
        <v>1922</v>
      </c>
      <c r="P93" s="23" t="s">
        <v>1923</v>
      </c>
      <c r="Q93" s="26" t="s">
        <v>1000</v>
      </c>
      <c r="R93" s="26" t="s">
        <v>1924</v>
      </c>
      <c r="S93" s="26" t="s">
        <v>1925</v>
      </c>
      <c r="T93" s="26">
        <v>9.8323734E7</v>
      </c>
      <c r="U93" s="26">
        <v>3.3003334457E10</v>
      </c>
      <c r="V93" s="52">
        <v>29981.0</v>
      </c>
    </row>
    <row r="94">
      <c r="A94" s="9"/>
      <c r="B94" s="13" t="s">
        <v>1926</v>
      </c>
      <c r="C94" s="85"/>
      <c r="D94" s="85"/>
      <c r="E94" s="85"/>
      <c r="F94" s="85"/>
      <c r="G94" s="20" t="s">
        <v>1927</v>
      </c>
      <c r="H94" s="11" t="s">
        <v>28</v>
      </c>
      <c r="I94" s="10">
        <f t="shared" si="1"/>
        <v>-536</v>
      </c>
      <c r="J94" s="12">
        <v>45586.0</v>
      </c>
      <c r="K94" s="12">
        <v>45220.0</v>
      </c>
      <c r="L94" s="11" t="s">
        <v>29</v>
      </c>
      <c r="M94" s="10" t="s">
        <v>1928</v>
      </c>
      <c r="N94" s="10" t="s">
        <v>1929</v>
      </c>
      <c r="O94" s="94" t="s">
        <v>1930</v>
      </c>
      <c r="P94" s="23" t="s">
        <v>1931</v>
      </c>
      <c r="Q94" s="26" t="s">
        <v>353</v>
      </c>
      <c r="R94" s="26" t="s">
        <v>1932</v>
      </c>
      <c r="S94" s="26" t="s">
        <v>1928</v>
      </c>
      <c r="T94" s="26">
        <v>9.95482137E8</v>
      </c>
      <c r="U94" s="26">
        <v>1.39147421E9</v>
      </c>
      <c r="V94" s="52">
        <v>33916.0</v>
      </c>
    </row>
    <row r="95">
      <c r="A95" s="9"/>
      <c r="B95" s="13" t="s">
        <v>1933</v>
      </c>
      <c r="C95" s="70"/>
      <c r="D95" s="70"/>
      <c r="E95" s="70"/>
      <c r="F95" s="70"/>
      <c r="G95" s="10" t="s">
        <v>1934</v>
      </c>
      <c r="H95" s="11" t="s">
        <v>28</v>
      </c>
      <c r="I95" s="10">
        <f t="shared" si="1"/>
        <v>-538</v>
      </c>
      <c r="J95" s="12">
        <v>45584.0</v>
      </c>
      <c r="K95" s="12">
        <v>45218.0</v>
      </c>
      <c r="L95" s="11" t="s">
        <v>29</v>
      </c>
      <c r="M95" s="10" t="s">
        <v>1935</v>
      </c>
      <c r="N95" s="10" t="s">
        <v>1936</v>
      </c>
      <c r="O95" s="94" t="s">
        <v>1937</v>
      </c>
      <c r="P95" s="23" t="s">
        <v>1938</v>
      </c>
      <c r="Q95" s="26" t="s">
        <v>1939</v>
      </c>
      <c r="R95" s="26" t="s">
        <v>1940</v>
      </c>
      <c r="S95" s="26" t="s">
        <v>1941</v>
      </c>
      <c r="T95" s="26">
        <v>9.17977053E8</v>
      </c>
      <c r="U95" s="26">
        <v>7.2852985028E10</v>
      </c>
      <c r="V95" s="84">
        <v>33537.0</v>
      </c>
    </row>
    <row r="96">
      <c r="A96" s="9"/>
      <c r="B96" s="13" t="s">
        <v>1942</v>
      </c>
      <c r="C96" s="70"/>
      <c r="D96" s="70"/>
      <c r="E96" s="70"/>
      <c r="F96" s="70"/>
      <c r="G96" s="10" t="s">
        <v>1943</v>
      </c>
      <c r="H96" s="11" t="s">
        <v>28</v>
      </c>
      <c r="I96" s="10">
        <f t="shared" si="1"/>
        <v>-541</v>
      </c>
      <c r="J96" s="12">
        <v>45581.0</v>
      </c>
      <c r="K96" s="12">
        <v>45215.0</v>
      </c>
      <c r="L96" s="11" t="s">
        <v>29</v>
      </c>
      <c r="M96" s="10" t="s">
        <v>1944</v>
      </c>
      <c r="N96" s="10" t="s">
        <v>1945</v>
      </c>
      <c r="O96" s="94" t="s">
        <v>1946</v>
      </c>
      <c r="P96" s="23" t="s">
        <v>1947</v>
      </c>
      <c r="Q96" s="26" t="s">
        <v>1170</v>
      </c>
      <c r="R96" s="26" t="s">
        <v>1948</v>
      </c>
      <c r="S96" s="26" t="s">
        <v>1949</v>
      </c>
      <c r="T96" s="26">
        <v>9.97459628E8</v>
      </c>
      <c r="U96" s="26">
        <v>4.7021395306E10</v>
      </c>
      <c r="V96" s="52">
        <v>35278.0</v>
      </c>
    </row>
    <row r="97">
      <c r="A97" s="9" t="s">
        <v>1950</v>
      </c>
      <c r="B97" s="13" t="s">
        <v>1951</v>
      </c>
      <c r="C97" s="85" t="s">
        <v>1246</v>
      </c>
      <c r="D97" s="71" t="s">
        <v>1225</v>
      </c>
      <c r="E97" s="85"/>
      <c r="F97" s="85"/>
      <c r="G97" s="10" t="s">
        <v>1952</v>
      </c>
      <c r="H97" s="11" t="s">
        <v>28</v>
      </c>
      <c r="I97" s="10">
        <f t="shared" si="1"/>
        <v>-50</v>
      </c>
      <c r="J97" s="16">
        <v>46072.0</v>
      </c>
      <c r="K97" s="16">
        <v>45195.0</v>
      </c>
      <c r="L97" s="11" t="s">
        <v>86</v>
      </c>
      <c r="M97" s="10" t="s">
        <v>1953</v>
      </c>
      <c r="N97" s="10" t="s">
        <v>1954</v>
      </c>
      <c r="O97" s="94" t="s">
        <v>1955</v>
      </c>
      <c r="P97" s="23" t="s">
        <v>1956</v>
      </c>
      <c r="Q97" s="26" t="s">
        <v>1473</v>
      </c>
      <c r="R97" s="26" t="s">
        <v>1957</v>
      </c>
      <c r="S97" s="26" t="s">
        <v>1958</v>
      </c>
      <c r="T97" s="26">
        <v>9.11110135E8</v>
      </c>
      <c r="U97" s="26">
        <v>8.8707727834E10</v>
      </c>
      <c r="V97" s="52">
        <v>29892.0</v>
      </c>
      <c r="W97" s="11" t="s">
        <v>1959</v>
      </c>
      <c r="X97" s="11" t="s">
        <v>1960</v>
      </c>
      <c r="Y97" s="11" t="s">
        <v>1961</v>
      </c>
      <c r="Z97" s="11">
        <v>9.95896367E8</v>
      </c>
      <c r="AA97" s="11">
        <v>9.618468147E10</v>
      </c>
      <c r="AB97" s="16">
        <v>30067.0</v>
      </c>
    </row>
    <row r="98">
      <c r="A98" s="9"/>
      <c r="B98" s="13" t="s">
        <v>1962</v>
      </c>
      <c r="C98" s="70"/>
      <c r="D98" s="70"/>
      <c r="E98" s="70"/>
      <c r="F98" s="70"/>
      <c r="G98" s="10" t="s">
        <v>1963</v>
      </c>
      <c r="H98" s="11" t="s">
        <v>28</v>
      </c>
      <c r="I98" s="10">
        <f t="shared" si="1"/>
        <v>-562</v>
      </c>
      <c r="J98" s="16">
        <v>45560.0</v>
      </c>
      <c r="K98" s="16">
        <v>45194.0</v>
      </c>
      <c r="L98" s="11" t="s">
        <v>29</v>
      </c>
      <c r="M98" s="10" t="s">
        <v>1964</v>
      </c>
      <c r="N98" s="10" t="s">
        <v>1965</v>
      </c>
      <c r="O98" s="94" t="s">
        <v>1966</v>
      </c>
      <c r="P98" s="23" t="s">
        <v>1967</v>
      </c>
      <c r="Q98" s="26" t="s">
        <v>1968</v>
      </c>
      <c r="R98" s="26" t="s">
        <v>1854</v>
      </c>
      <c r="S98" s="26" t="s">
        <v>1964</v>
      </c>
      <c r="T98" s="26">
        <v>9.13622869E8</v>
      </c>
      <c r="U98" s="26">
        <v>8.696736461E10</v>
      </c>
      <c r="V98" s="52">
        <v>35473.0</v>
      </c>
    </row>
    <row r="99">
      <c r="A99" s="13"/>
      <c r="B99" s="13" t="s">
        <v>1969</v>
      </c>
      <c r="C99" s="70"/>
      <c r="D99" s="70"/>
      <c r="E99" s="70"/>
      <c r="F99" s="70"/>
      <c r="G99" s="10" t="s">
        <v>1970</v>
      </c>
      <c r="H99" s="11" t="s">
        <v>28</v>
      </c>
      <c r="I99" s="10">
        <f t="shared" si="1"/>
        <v>-197</v>
      </c>
      <c r="J99" s="16">
        <v>45925.0</v>
      </c>
      <c r="K99" s="16">
        <v>45194.0</v>
      </c>
      <c r="L99" s="11" t="s">
        <v>29</v>
      </c>
      <c r="M99" s="11" t="s">
        <v>1971</v>
      </c>
      <c r="N99" s="10" t="s">
        <v>1972</v>
      </c>
      <c r="O99" s="94" t="s">
        <v>1973</v>
      </c>
      <c r="P99" s="23" t="s">
        <v>1974</v>
      </c>
      <c r="Q99" s="26" t="s">
        <v>1975</v>
      </c>
      <c r="R99" s="26" t="s">
        <v>1976</v>
      </c>
      <c r="S99" s="26" t="s">
        <v>1977</v>
      </c>
      <c r="T99" s="26">
        <v>9.53778375E8</v>
      </c>
      <c r="U99" s="26">
        <v>4.0981897228E10</v>
      </c>
      <c r="V99" s="52">
        <v>33431.0</v>
      </c>
    </row>
    <row r="100">
      <c r="A100" s="9"/>
      <c r="B100" s="9" t="s">
        <v>1978</v>
      </c>
      <c r="C100" s="71"/>
      <c r="D100" s="71"/>
      <c r="E100" s="71"/>
      <c r="F100" s="70"/>
      <c r="G100" s="29" t="s">
        <v>1979</v>
      </c>
      <c r="H100" s="11" t="s">
        <v>28</v>
      </c>
      <c r="I100" s="10">
        <f t="shared" si="1"/>
        <v>-69</v>
      </c>
      <c r="J100" s="16">
        <v>46053.0</v>
      </c>
      <c r="K100" s="16">
        <v>45194.0</v>
      </c>
      <c r="L100" s="11" t="s">
        <v>86</v>
      </c>
      <c r="M100" s="11" t="s">
        <v>1980</v>
      </c>
      <c r="N100" s="11">
        <v>9.53445303E8</v>
      </c>
      <c r="O100" s="58" t="s">
        <v>1981</v>
      </c>
      <c r="P100" s="15" t="s">
        <v>1982</v>
      </c>
      <c r="Q100" s="26" t="s">
        <v>1968</v>
      </c>
      <c r="R100" s="26" t="s">
        <v>1983</v>
      </c>
      <c r="S100" s="26" t="s">
        <v>1984</v>
      </c>
      <c r="T100" s="26">
        <v>9.53445303E8</v>
      </c>
      <c r="U100" s="26">
        <v>2.5902375119E10</v>
      </c>
      <c r="V100" s="92">
        <v>31762.0</v>
      </c>
    </row>
    <row r="101">
      <c r="A101" s="13"/>
      <c r="B101" s="13" t="s">
        <v>1985</v>
      </c>
      <c r="C101" s="70"/>
      <c r="D101" s="70"/>
      <c r="E101" s="70"/>
      <c r="F101" s="71" t="s">
        <v>1247</v>
      </c>
      <c r="G101" s="20" t="s">
        <v>1986</v>
      </c>
      <c r="H101" s="11" t="s">
        <v>28</v>
      </c>
      <c r="I101" s="10">
        <f t="shared" si="1"/>
        <v>-199</v>
      </c>
      <c r="J101" s="16">
        <v>45923.0</v>
      </c>
      <c r="K101" s="16">
        <v>45192.0</v>
      </c>
      <c r="L101" s="11" t="s">
        <v>29</v>
      </c>
      <c r="M101" s="10" t="s">
        <v>1987</v>
      </c>
      <c r="N101" s="10" t="s">
        <v>1988</v>
      </c>
      <c r="O101" s="94" t="s">
        <v>1989</v>
      </c>
      <c r="P101" s="23" t="s">
        <v>1990</v>
      </c>
      <c r="Q101" s="26" t="s">
        <v>1991</v>
      </c>
      <c r="R101" s="26" t="s">
        <v>1992</v>
      </c>
      <c r="S101" s="26" t="s">
        <v>1993</v>
      </c>
      <c r="T101" s="26">
        <v>9.12208193E8</v>
      </c>
      <c r="U101" s="26">
        <v>2.2595494231E10</v>
      </c>
      <c r="V101" s="52">
        <v>30093.0</v>
      </c>
      <c r="AB101" s="16"/>
    </row>
    <row r="102">
      <c r="A102" s="32" t="s">
        <v>1994</v>
      </c>
      <c r="B102" s="34" t="s">
        <v>1995</v>
      </c>
      <c r="C102" s="72" t="s">
        <v>1246</v>
      </c>
      <c r="D102" s="71" t="s">
        <v>1225</v>
      </c>
      <c r="E102" s="72" t="s">
        <v>1247</v>
      </c>
      <c r="F102" s="72" t="s">
        <v>1247</v>
      </c>
      <c r="G102" s="34" t="s">
        <v>1996</v>
      </c>
      <c r="H102" s="32" t="s">
        <v>28</v>
      </c>
      <c r="I102" s="34">
        <f t="shared" si="1"/>
        <v>165</v>
      </c>
      <c r="J102" s="35">
        <v>46287.0</v>
      </c>
      <c r="K102" s="35">
        <v>45191.0</v>
      </c>
      <c r="L102" s="32" t="s">
        <v>86</v>
      </c>
      <c r="M102" s="34" t="s">
        <v>1997</v>
      </c>
      <c r="N102" s="34" t="s">
        <v>1998</v>
      </c>
      <c r="O102" s="95" t="s">
        <v>1999</v>
      </c>
      <c r="P102" s="28" t="s">
        <v>2000</v>
      </c>
      <c r="Q102" s="75" t="s">
        <v>2001</v>
      </c>
      <c r="R102" s="75" t="s">
        <v>2002</v>
      </c>
      <c r="S102" s="75" t="s">
        <v>2003</v>
      </c>
      <c r="T102" s="75"/>
      <c r="U102" s="75"/>
      <c r="V102" s="76"/>
      <c r="W102" s="96" t="s">
        <v>509</v>
      </c>
      <c r="X102" s="96" t="s">
        <v>2004</v>
      </c>
      <c r="Y102" s="96" t="s">
        <v>2005</v>
      </c>
      <c r="Z102" s="96">
        <v>3.8598412996E10</v>
      </c>
      <c r="AA102" s="96">
        <v>8.8225498312E10</v>
      </c>
      <c r="AB102" s="97">
        <v>31453.0</v>
      </c>
      <c r="AC102" s="34"/>
      <c r="AD102" s="34"/>
      <c r="AE102" s="34"/>
      <c r="AF102" s="34"/>
      <c r="AG102" s="34"/>
      <c r="AH102" s="34"/>
    </row>
    <row r="103">
      <c r="A103" s="9" t="s">
        <v>2006</v>
      </c>
      <c r="B103" s="13" t="s">
        <v>2007</v>
      </c>
      <c r="C103" s="71" t="s">
        <v>1246</v>
      </c>
      <c r="D103" s="71" t="s">
        <v>1225</v>
      </c>
      <c r="E103" s="70"/>
      <c r="F103" s="71" t="s">
        <v>1247</v>
      </c>
      <c r="G103" s="10" t="s">
        <v>2008</v>
      </c>
      <c r="H103" s="11" t="s">
        <v>28</v>
      </c>
      <c r="I103" s="10">
        <f t="shared" si="1"/>
        <v>529</v>
      </c>
      <c r="J103" s="16">
        <v>46651.0</v>
      </c>
      <c r="K103" s="16">
        <v>45190.0</v>
      </c>
      <c r="L103" s="11" t="s">
        <v>86</v>
      </c>
      <c r="M103" s="10" t="s">
        <v>2009</v>
      </c>
      <c r="N103" s="10" t="s">
        <v>2010</v>
      </c>
      <c r="O103" s="94" t="s">
        <v>2011</v>
      </c>
      <c r="P103" s="23"/>
      <c r="Q103" s="26" t="s">
        <v>263</v>
      </c>
      <c r="R103" s="26" t="s">
        <v>2012</v>
      </c>
      <c r="S103" s="26" t="s">
        <v>2013</v>
      </c>
      <c r="T103" s="26">
        <v>9.92978668E8</v>
      </c>
      <c r="U103" s="26">
        <v>1.931674373E9</v>
      </c>
      <c r="V103" s="52">
        <v>34799.0</v>
      </c>
    </row>
    <row r="104">
      <c r="A104" s="9"/>
      <c r="B104" s="13" t="s">
        <v>2014</v>
      </c>
      <c r="C104" s="70"/>
      <c r="D104" s="70"/>
      <c r="E104" s="70"/>
      <c r="F104" s="70"/>
      <c r="G104" s="10" t="s">
        <v>2015</v>
      </c>
      <c r="H104" s="11" t="s">
        <v>28</v>
      </c>
      <c r="I104" s="10">
        <f t="shared" si="1"/>
        <v>-568</v>
      </c>
      <c r="J104" s="16">
        <v>45554.0</v>
      </c>
      <c r="K104" s="16">
        <v>45188.0</v>
      </c>
      <c r="L104" s="11" t="s">
        <v>29</v>
      </c>
      <c r="M104" s="10" t="s">
        <v>2016</v>
      </c>
      <c r="N104" s="10" t="s">
        <v>2017</v>
      </c>
      <c r="O104" s="94" t="s">
        <v>2018</v>
      </c>
      <c r="P104" s="23" t="s">
        <v>2019</v>
      </c>
      <c r="Q104" s="26" t="s">
        <v>959</v>
      </c>
      <c r="R104" s="26" t="s">
        <v>2020</v>
      </c>
      <c r="S104" s="26" t="s">
        <v>2021</v>
      </c>
      <c r="T104" s="26">
        <v>9.16206272E8</v>
      </c>
      <c r="U104" s="26">
        <v>4.390693095E9</v>
      </c>
      <c r="V104" s="52">
        <v>24640.0</v>
      </c>
      <c r="W104" s="11" t="s">
        <v>1262</v>
      </c>
      <c r="X104" s="11" t="s">
        <v>2020</v>
      </c>
      <c r="Y104" s="11" t="s">
        <v>2016</v>
      </c>
      <c r="Z104" s="11">
        <v>9.16192492E8</v>
      </c>
      <c r="AA104" s="11">
        <v>6.9801170354E10</v>
      </c>
      <c r="AB104" s="16">
        <v>24975.0</v>
      </c>
    </row>
    <row r="105">
      <c r="A105" s="9"/>
      <c r="B105" s="13" t="s">
        <v>2022</v>
      </c>
      <c r="C105" s="70"/>
      <c r="D105" s="70"/>
      <c r="E105" s="70"/>
      <c r="F105" s="70"/>
      <c r="G105" s="10" t="s">
        <v>2023</v>
      </c>
      <c r="H105" s="11" t="s">
        <v>28</v>
      </c>
      <c r="I105" s="10">
        <f t="shared" si="1"/>
        <v>-575</v>
      </c>
      <c r="J105" s="16">
        <v>45547.0</v>
      </c>
      <c r="K105" s="16">
        <v>45181.0</v>
      </c>
      <c r="L105" s="11" t="s">
        <v>29</v>
      </c>
      <c r="M105" s="10" t="s">
        <v>2024</v>
      </c>
      <c r="N105" s="10" t="s">
        <v>2025</v>
      </c>
      <c r="O105" s="94" t="s">
        <v>2026</v>
      </c>
      <c r="P105" s="23" t="s">
        <v>2027</v>
      </c>
      <c r="Q105" s="26" t="s">
        <v>592</v>
      </c>
      <c r="R105" s="26" t="s">
        <v>2028</v>
      </c>
      <c r="S105" s="26" t="s">
        <v>2029</v>
      </c>
      <c r="T105" s="26">
        <v>9.8192962E8</v>
      </c>
      <c r="U105" s="26">
        <v>9.2006302133E10</v>
      </c>
      <c r="V105" s="84">
        <v>30314.0</v>
      </c>
    </row>
    <row r="106">
      <c r="A106" s="9"/>
      <c r="B106" s="13" t="s">
        <v>2030</v>
      </c>
      <c r="C106" s="70"/>
      <c r="D106" s="70"/>
      <c r="E106" s="70"/>
      <c r="F106" s="70"/>
      <c r="G106" s="10" t="s">
        <v>2031</v>
      </c>
      <c r="H106" s="11" t="s">
        <v>28</v>
      </c>
      <c r="I106" s="10">
        <f t="shared" si="1"/>
        <v>-576</v>
      </c>
      <c r="J106" s="16">
        <v>45546.0</v>
      </c>
      <c r="K106" s="16">
        <v>45180.0</v>
      </c>
      <c r="L106" s="11" t="s">
        <v>29</v>
      </c>
      <c r="M106" s="10" t="s">
        <v>2032</v>
      </c>
      <c r="N106" s="10" t="s">
        <v>2033</v>
      </c>
      <c r="O106" s="94" t="s">
        <v>2034</v>
      </c>
      <c r="P106" s="23" t="s">
        <v>2035</v>
      </c>
      <c r="Q106" s="26" t="s">
        <v>2036</v>
      </c>
      <c r="R106" s="26" t="s">
        <v>2037</v>
      </c>
      <c r="S106" s="26" t="s">
        <v>2032</v>
      </c>
      <c r="T106" s="26" t="s">
        <v>2033</v>
      </c>
      <c r="U106" s="26">
        <v>5.096346286E9</v>
      </c>
      <c r="V106" s="52">
        <v>27975.0</v>
      </c>
    </row>
    <row r="107">
      <c r="A107" s="13"/>
      <c r="B107" s="13" t="s">
        <v>2038</v>
      </c>
      <c r="C107" s="71" t="s">
        <v>1246</v>
      </c>
      <c r="D107" s="71" t="s">
        <v>1225</v>
      </c>
      <c r="E107" s="71" t="s">
        <v>1247</v>
      </c>
      <c r="F107" s="71" t="s">
        <v>1247</v>
      </c>
      <c r="G107" s="20" t="s">
        <v>2039</v>
      </c>
      <c r="H107" s="11" t="s">
        <v>69</v>
      </c>
      <c r="I107" s="10">
        <f t="shared" si="1"/>
        <v>148</v>
      </c>
      <c r="J107" s="16">
        <v>46270.0</v>
      </c>
      <c r="K107" s="16">
        <v>45174.0</v>
      </c>
      <c r="L107" s="11" t="s">
        <v>86</v>
      </c>
      <c r="M107" s="10" t="s">
        <v>2040</v>
      </c>
      <c r="N107" s="10" t="s">
        <v>2041</v>
      </c>
      <c r="O107" s="94" t="s">
        <v>2042</v>
      </c>
      <c r="P107" s="15" t="s">
        <v>2043</v>
      </c>
      <c r="Q107" s="11" t="s">
        <v>197</v>
      </c>
      <c r="R107" s="11" t="s">
        <v>2044</v>
      </c>
      <c r="S107" s="11" t="s">
        <v>2045</v>
      </c>
      <c r="V107" s="22"/>
      <c r="AB107" s="16"/>
    </row>
    <row r="108">
      <c r="A108" s="9"/>
      <c r="B108" s="13" t="s">
        <v>2046</v>
      </c>
      <c r="C108" s="70"/>
      <c r="D108" s="70"/>
      <c r="E108" s="70"/>
      <c r="F108" s="70"/>
      <c r="G108" s="20" t="s">
        <v>2047</v>
      </c>
      <c r="H108" s="11" t="s">
        <v>28</v>
      </c>
      <c r="I108" s="10">
        <f t="shared" si="1"/>
        <v>-590</v>
      </c>
      <c r="J108" s="16">
        <v>45532.0</v>
      </c>
      <c r="K108" s="16">
        <v>45166.0</v>
      </c>
      <c r="L108" s="11" t="s">
        <v>29</v>
      </c>
      <c r="M108" s="10" t="s">
        <v>2048</v>
      </c>
      <c r="N108" s="10" t="s">
        <v>2049</v>
      </c>
      <c r="O108" s="94" t="s">
        <v>2050</v>
      </c>
      <c r="P108" s="23" t="s">
        <v>2051</v>
      </c>
      <c r="Q108" s="26" t="s">
        <v>2052</v>
      </c>
      <c r="R108" s="26" t="s">
        <v>2053</v>
      </c>
      <c r="S108" s="26" t="s">
        <v>2048</v>
      </c>
      <c r="T108" s="26">
        <v>9.11234512E8</v>
      </c>
      <c r="U108" s="26">
        <v>6.1234456E7</v>
      </c>
      <c r="V108" s="52">
        <v>27399.0</v>
      </c>
    </row>
    <row r="109">
      <c r="A109" s="9"/>
      <c r="B109" s="13" t="s">
        <v>2054</v>
      </c>
      <c r="C109" s="70"/>
      <c r="D109" s="70"/>
      <c r="E109" s="70"/>
      <c r="F109" s="71" t="s">
        <v>1247</v>
      </c>
      <c r="G109" s="10" t="s">
        <v>2055</v>
      </c>
      <c r="H109" s="11" t="s">
        <v>69</v>
      </c>
      <c r="I109" s="10">
        <f t="shared" si="1"/>
        <v>-595</v>
      </c>
      <c r="J109" s="16">
        <v>45527.0</v>
      </c>
      <c r="K109" s="16">
        <v>45161.0</v>
      </c>
      <c r="L109" s="11" t="s">
        <v>29</v>
      </c>
      <c r="M109" s="10" t="s">
        <v>2056</v>
      </c>
      <c r="N109" s="10" t="s">
        <v>2057</v>
      </c>
      <c r="O109" s="94" t="s">
        <v>2058</v>
      </c>
      <c r="P109" s="15" t="s">
        <v>2059</v>
      </c>
      <c r="Q109" s="26" t="s">
        <v>2060</v>
      </c>
      <c r="R109" s="26" t="s">
        <v>2061</v>
      </c>
      <c r="S109" s="26" t="s">
        <v>2056</v>
      </c>
      <c r="T109" s="26">
        <v>9.16230472E8</v>
      </c>
      <c r="U109" s="26">
        <v>7.4819010843E10</v>
      </c>
      <c r="V109" s="52">
        <v>33005.0</v>
      </c>
    </row>
    <row r="110">
      <c r="A110" s="9"/>
      <c r="B110" s="13" t="s">
        <v>2062</v>
      </c>
      <c r="C110" s="70"/>
      <c r="D110" s="70"/>
      <c r="E110" s="70"/>
      <c r="F110" s="70"/>
      <c r="G110" s="10" t="s">
        <v>2063</v>
      </c>
      <c r="H110" s="11" t="s">
        <v>28</v>
      </c>
      <c r="I110" s="10">
        <f t="shared" si="1"/>
        <v>-651</v>
      </c>
      <c r="J110" s="16">
        <v>45471.0</v>
      </c>
      <c r="K110" s="16">
        <v>45105.0</v>
      </c>
      <c r="L110" s="11" t="s">
        <v>29</v>
      </c>
      <c r="M110" s="10" t="s">
        <v>2064</v>
      </c>
      <c r="N110" s="10" t="s">
        <v>2065</v>
      </c>
      <c r="O110" s="94" t="s">
        <v>2066</v>
      </c>
      <c r="P110" s="23" t="s">
        <v>2067</v>
      </c>
      <c r="Q110" s="26" t="s">
        <v>2068</v>
      </c>
      <c r="R110" s="26" t="s">
        <v>2069</v>
      </c>
      <c r="S110" s="26" t="s">
        <v>2064</v>
      </c>
      <c r="T110" s="26">
        <v>3.1650983E7</v>
      </c>
      <c r="U110" s="26">
        <v>4.6310404742E10</v>
      </c>
      <c r="V110" s="84">
        <v>27375.0</v>
      </c>
    </row>
    <row r="111">
      <c r="A111" s="9"/>
      <c r="B111" s="13" t="s">
        <v>2070</v>
      </c>
      <c r="C111" s="70"/>
      <c r="D111" s="70"/>
      <c r="E111" s="70"/>
      <c r="F111" s="70"/>
      <c r="G111" s="10" t="s">
        <v>2071</v>
      </c>
      <c r="H111" s="11" t="s">
        <v>28</v>
      </c>
      <c r="I111" s="10">
        <f t="shared" si="1"/>
        <v>-685</v>
      </c>
      <c r="J111" s="16">
        <v>45437.0</v>
      </c>
      <c r="K111" s="16">
        <v>45071.0</v>
      </c>
      <c r="L111" s="11" t="s">
        <v>29</v>
      </c>
      <c r="M111" s="10" t="s">
        <v>2072</v>
      </c>
      <c r="N111" s="10" t="s">
        <v>2073</v>
      </c>
      <c r="O111" s="94" t="s">
        <v>2074</v>
      </c>
      <c r="P111" s="23" t="s">
        <v>2075</v>
      </c>
      <c r="Q111" s="26" t="s">
        <v>2076</v>
      </c>
      <c r="R111" s="26" t="s">
        <v>2077</v>
      </c>
      <c r="S111" s="26" t="s">
        <v>2072</v>
      </c>
      <c r="T111" s="26" t="s">
        <v>2073</v>
      </c>
      <c r="U111" s="26">
        <v>3.9692777029E10</v>
      </c>
      <c r="V111" s="52">
        <v>33428.0</v>
      </c>
      <c r="AB111" s="23"/>
    </row>
    <row r="112">
      <c r="A112" s="13"/>
      <c r="B112" s="13" t="s">
        <v>2078</v>
      </c>
      <c r="C112" s="71" t="s">
        <v>1224</v>
      </c>
      <c r="D112" s="71" t="s">
        <v>1225</v>
      </c>
      <c r="E112" s="70"/>
      <c r="F112" s="70"/>
      <c r="G112" s="10" t="s">
        <v>2079</v>
      </c>
      <c r="H112" s="11" t="s">
        <v>28</v>
      </c>
      <c r="I112" s="10">
        <f t="shared" si="1"/>
        <v>410</v>
      </c>
      <c r="J112" s="16">
        <v>46532.0</v>
      </c>
      <c r="K112" s="16">
        <v>45062.0</v>
      </c>
      <c r="L112" s="11" t="s">
        <v>86</v>
      </c>
      <c r="M112" s="10" t="s">
        <v>2080</v>
      </c>
      <c r="N112" s="24" t="s">
        <v>2081</v>
      </c>
      <c r="O112" s="94" t="s">
        <v>2082</v>
      </c>
      <c r="P112" s="23" t="s">
        <v>2083</v>
      </c>
      <c r="Q112" s="26" t="s">
        <v>2084</v>
      </c>
      <c r="R112" s="26" t="s">
        <v>2085</v>
      </c>
      <c r="S112" s="26" t="s">
        <v>2086</v>
      </c>
      <c r="T112" s="78">
        <f>+38631442667</f>
        <v>38631442667</v>
      </c>
      <c r="U112" s="26">
        <v>9.869944E7</v>
      </c>
      <c r="V112" s="52">
        <v>33042.0</v>
      </c>
    </row>
    <row r="113">
      <c r="A113" s="9"/>
      <c r="B113" s="13" t="s">
        <v>2087</v>
      </c>
      <c r="C113" s="70"/>
      <c r="D113" s="70"/>
      <c r="E113" s="70"/>
      <c r="F113" s="70"/>
      <c r="G113" s="10" t="s">
        <v>2088</v>
      </c>
      <c r="H113" s="11" t="s">
        <v>28</v>
      </c>
      <c r="I113" s="10">
        <f t="shared" si="1"/>
        <v>-699</v>
      </c>
      <c r="J113" s="16">
        <v>45423.0</v>
      </c>
      <c r="K113" s="16">
        <v>45057.0</v>
      </c>
      <c r="L113" s="11" t="s">
        <v>29</v>
      </c>
      <c r="M113" s="10" t="s">
        <v>2089</v>
      </c>
      <c r="N113" s="10" t="s">
        <v>2090</v>
      </c>
      <c r="O113" s="94" t="s">
        <v>2091</v>
      </c>
      <c r="P113" s="23" t="s">
        <v>2092</v>
      </c>
      <c r="Q113" s="26" t="s">
        <v>2093</v>
      </c>
      <c r="R113" s="26" t="s">
        <v>2094</v>
      </c>
      <c r="S113" s="26" t="s">
        <v>2089</v>
      </c>
      <c r="T113" s="26">
        <v>9.81393645E8</v>
      </c>
      <c r="U113" s="26">
        <v>9.441091521E10</v>
      </c>
      <c r="V113" s="52">
        <v>31484.0</v>
      </c>
      <c r="W113" s="11" t="s">
        <v>2095</v>
      </c>
      <c r="X113" s="11" t="s">
        <v>1067</v>
      </c>
      <c r="Y113" s="11" t="s">
        <v>2096</v>
      </c>
      <c r="Z113" s="11">
        <v>9.89520532E8</v>
      </c>
      <c r="AA113" s="11">
        <v>2.0569246654E10</v>
      </c>
      <c r="AB113" s="16">
        <v>31477.0</v>
      </c>
    </row>
    <row r="114">
      <c r="A114" s="32"/>
      <c r="B114" s="32" t="s">
        <v>2097</v>
      </c>
      <c r="C114" s="72" t="s">
        <v>1246</v>
      </c>
      <c r="D114" s="71" t="s">
        <v>1225</v>
      </c>
      <c r="E114" s="72"/>
      <c r="F114" s="72" t="s">
        <v>1247</v>
      </c>
      <c r="G114" s="33" t="s">
        <v>2098</v>
      </c>
      <c r="H114" s="32" t="s">
        <v>28</v>
      </c>
      <c r="I114" s="34">
        <f t="shared" si="1"/>
        <v>134</v>
      </c>
      <c r="J114" s="35">
        <v>46256.0</v>
      </c>
      <c r="K114" s="35">
        <v>45055.0</v>
      </c>
      <c r="L114" s="32" t="s">
        <v>86</v>
      </c>
      <c r="M114" s="32" t="s">
        <v>2099</v>
      </c>
      <c r="N114" s="32">
        <v>9.860504E7</v>
      </c>
      <c r="O114" s="74" t="s">
        <v>2100</v>
      </c>
      <c r="P114" s="28" t="s">
        <v>2101</v>
      </c>
      <c r="Q114" s="75" t="s">
        <v>1740</v>
      </c>
      <c r="R114" s="75" t="s">
        <v>2102</v>
      </c>
      <c r="S114" s="75" t="s">
        <v>2103</v>
      </c>
      <c r="T114" s="75">
        <v>9.848013E7</v>
      </c>
      <c r="U114" s="75">
        <v>8.3071062786E10</v>
      </c>
      <c r="V114" s="76">
        <v>24271.0</v>
      </c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>
      <c r="A115" s="9" t="s">
        <v>2104</v>
      </c>
      <c r="B115" s="13" t="s">
        <v>2105</v>
      </c>
      <c r="C115" s="71" t="s">
        <v>1246</v>
      </c>
      <c r="D115" s="71" t="s">
        <v>1225</v>
      </c>
      <c r="E115" s="70"/>
      <c r="F115" s="71" t="s">
        <v>1247</v>
      </c>
      <c r="G115" s="10" t="s">
        <v>2106</v>
      </c>
      <c r="H115" s="11" t="s">
        <v>28</v>
      </c>
      <c r="I115" s="10">
        <f t="shared" si="1"/>
        <v>134</v>
      </c>
      <c r="J115" s="16">
        <v>46256.0</v>
      </c>
      <c r="K115" s="16">
        <v>45042.0</v>
      </c>
      <c r="L115" s="11" t="s">
        <v>86</v>
      </c>
      <c r="M115" s="10" t="s">
        <v>2107</v>
      </c>
      <c r="N115" s="10" t="s">
        <v>2108</v>
      </c>
      <c r="O115" s="94" t="s">
        <v>2109</v>
      </c>
      <c r="P115" s="23" t="s">
        <v>2110</v>
      </c>
      <c r="Q115" s="26" t="s">
        <v>174</v>
      </c>
      <c r="R115" s="26" t="s">
        <v>2111</v>
      </c>
      <c r="S115" s="26" t="s">
        <v>2112</v>
      </c>
      <c r="T115" s="26">
        <v>9.8819518E7</v>
      </c>
      <c r="U115" s="26">
        <v>3.3524590987E10</v>
      </c>
      <c r="V115" s="52">
        <v>36723.0</v>
      </c>
    </row>
    <row r="116">
      <c r="A116" s="13"/>
      <c r="B116" s="13" t="s">
        <v>2113</v>
      </c>
      <c r="C116" s="71" t="s">
        <v>1300</v>
      </c>
      <c r="D116" s="71" t="s">
        <v>1225</v>
      </c>
      <c r="E116" s="70"/>
      <c r="F116" s="70"/>
      <c r="G116" s="10" t="s">
        <v>2114</v>
      </c>
      <c r="H116" s="11" t="s">
        <v>28</v>
      </c>
      <c r="I116" s="10">
        <f t="shared" si="1"/>
        <v>377</v>
      </c>
      <c r="J116" s="16">
        <v>46499.0</v>
      </c>
      <c r="K116" s="16">
        <v>45040.0</v>
      </c>
      <c r="L116" s="11" t="s">
        <v>86</v>
      </c>
      <c r="M116" s="10" t="s">
        <v>2115</v>
      </c>
      <c r="N116" s="10" t="s">
        <v>2116</v>
      </c>
      <c r="O116" s="94" t="s">
        <v>2117</v>
      </c>
      <c r="P116" s="23" t="s">
        <v>2118</v>
      </c>
      <c r="Q116" s="26" t="s">
        <v>285</v>
      </c>
      <c r="R116" s="26" t="s">
        <v>2119</v>
      </c>
      <c r="S116" s="26" t="s">
        <v>2120</v>
      </c>
      <c r="T116" s="26">
        <v>9.98023855E8</v>
      </c>
      <c r="U116" s="26">
        <v>7.7735338649E10</v>
      </c>
      <c r="V116" s="52">
        <v>29324.0</v>
      </c>
    </row>
    <row r="117">
      <c r="A117" s="13"/>
      <c r="B117" s="9" t="s">
        <v>2121</v>
      </c>
      <c r="C117" s="71" t="s">
        <v>1224</v>
      </c>
      <c r="D117" s="71" t="s">
        <v>1225</v>
      </c>
      <c r="E117" s="71" t="s">
        <v>1247</v>
      </c>
      <c r="F117" s="71" t="s">
        <v>1247</v>
      </c>
      <c r="G117" s="29" t="s">
        <v>2122</v>
      </c>
      <c r="H117" s="11" t="s">
        <v>69</v>
      </c>
      <c r="I117" s="10">
        <f t="shared" si="1"/>
        <v>13</v>
      </c>
      <c r="J117" s="16">
        <v>46135.0</v>
      </c>
      <c r="K117" s="16">
        <v>45034.0</v>
      </c>
      <c r="L117" s="11" t="s">
        <v>86</v>
      </c>
      <c r="M117" s="11" t="s">
        <v>2123</v>
      </c>
      <c r="N117" s="11">
        <v>9.58273905E8</v>
      </c>
      <c r="O117" s="58" t="s">
        <v>2124</v>
      </c>
      <c r="P117" s="15" t="s">
        <v>2125</v>
      </c>
      <c r="Q117" s="26" t="s">
        <v>2126</v>
      </c>
      <c r="R117" s="26" t="s">
        <v>2127</v>
      </c>
      <c r="S117" s="26" t="s">
        <v>2128</v>
      </c>
      <c r="T117" s="26">
        <v>9.58273905E8</v>
      </c>
      <c r="U117" s="26">
        <v>9.708238329E10</v>
      </c>
      <c r="V117" s="52">
        <v>33663.0</v>
      </c>
    </row>
    <row r="118">
      <c r="A118" s="13"/>
      <c r="B118" s="13" t="s">
        <v>2129</v>
      </c>
      <c r="C118" s="71" t="s">
        <v>1246</v>
      </c>
      <c r="D118" s="71" t="s">
        <v>1225</v>
      </c>
      <c r="E118" s="71"/>
      <c r="F118" s="71" t="s">
        <v>1247</v>
      </c>
      <c r="G118" s="10" t="s">
        <v>2130</v>
      </c>
      <c r="H118" s="11" t="s">
        <v>28</v>
      </c>
      <c r="I118" s="10">
        <f t="shared" si="1"/>
        <v>357</v>
      </c>
      <c r="J118" s="16">
        <v>46479.0</v>
      </c>
      <c r="K118" s="16">
        <v>45019.0</v>
      </c>
      <c r="L118" s="11" t="s">
        <v>86</v>
      </c>
      <c r="M118" s="10" t="s">
        <v>2131</v>
      </c>
      <c r="N118" s="10" t="s">
        <v>2132</v>
      </c>
      <c r="O118" s="94" t="s">
        <v>2133</v>
      </c>
      <c r="P118" s="23" t="s">
        <v>2134</v>
      </c>
      <c r="Q118" s="26" t="s">
        <v>1253</v>
      </c>
      <c r="R118" s="26" t="s">
        <v>2135</v>
      </c>
      <c r="S118" s="26" t="s">
        <v>2136</v>
      </c>
      <c r="T118" s="26">
        <v>6.3571283E7</v>
      </c>
      <c r="U118" s="26">
        <v>8.3840734509E10</v>
      </c>
      <c r="V118" s="52">
        <v>33087.0</v>
      </c>
    </row>
    <row r="119">
      <c r="A119" s="13"/>
      <c r="B119" s="13" t="s">
        <v>2137</v>
      </c>
      <c r="C119" s="70"/>
      <c r="D119" s="70"/>
      <c r="E119" s="70"/>
      <c r="F119" s="70"/>
      <c r="G119" s="10" t="s">
        <v>2138</v>
      </c>
      <c r="H119" s="11" t="s">
        <v>28</v>
      </c>
      <c r="I119" s="10">
        <f t="shared" si="1"/>
        <v>-392</v>
      </c>
      <c r="J119" s="16">
        <v>45730.0</v>
      </c>
      <c r="K119" s="16">
        <v>44999.0</v>
      </c>
      <c r="L119" s="11" t="s">
        <v>29</v>
      </c>
      <c r="M119" s="10" t="s">
        <v>2139</v>
      </c>
      <c r="N119" s="10" t="s">
        <v>2140</v>
      </c>
      <c r="O119" s="94" t="s">
        <v>2141</v>
      </c>
      <c r="P119" s="23" t="s">
        <v>2142</v>
      </c>
      <c r="Q119" s="26" t="s">
        <v>2143</v>
      </c>
      <c r="R119" s="26" t="s">
        <v>2144</v>
      </c>
      <c r="S119" s="26" t="s">
        <v>2145</v>
      </c>
      <c r="T119" s="26"/>
      <c r="U119" s="26">
        <v>9.0958005983E10</v>
      </c>
      <c r="V119" s="27" t="s">
        <v>2146</v>
      </c>
    </row>
    <row r="120">
      <c r="A120" s="9"/>
      <c r="B120" s="13" t="s">
        <v>2137</v>
      </c>
      <c r="C120" s="70"/>
      <c r="D120" s="70"/>
      <c r="E120" s="70"/>
      <c r="F120" s="70"/>
      <c r="G120" s="10" t="s">
        <v>2147</v>
      </c>
      <c r="H120" s="11" t="s">
        <v>28</v>
      </c>
      <c r="I120" s="10">
        <f t="shared" si="1"/>
        <v>-758</v>
      </c>
      <c r="J120" s="16">
        <v>45364.0</v>
      </c>
      <c r="K120" s="16">
        <v>44998.0</v>
      </c>
      <c r="L120" s="11" t="s">
        <v>29</v>
      </c>
      <c r="M120" s="10" t="s">
        <v>2148</v>
      </c>
      <c r="N120" s="24" t="s">
        <v>2149</v>
      </c>
      <c r="O120" s="94" t="s">
        <v>2150</v>
      </c>
      <c r="P120" s="23" t="s">
        <v>2151</v>
      </c>
      <c r="Q120" s="26" t="s">
        <v>340</v>
      </c>
      <c r="R120" s="26" t="s">
        <v>2152</v>
      </c>
      <c r="S120" s="26" t="s">
        <v>2148</v>
      </c>
      <c r="T120" s="78">
        <f>+385977668061</f>
        <v>385977668061</v>
      </c>
      <c r="U120" s="26">
        <v>2.9235178136E10</v>
      </c>
      <c r="V120" s="52">
        <v>35996.0</v>
      </c>
    </row>
    <row r="121">
      <c r="A121" s="13"/>
      <c r="B121" s="13" t="s">
        <v>2153</v>
      </c>
      <c r="C121" s="71" t="s">
        <v>1300</v>
      </c>
      <c r="D121" s="71" t="s">
        <v>1225</v>
      </c>
      <c r="E121" s="70"/>
      <c r="F121" s="70"/>
      <c r="G121" s="10" t="s">
        <v>2154</v>
      </c>
      <c r="H121" s="11" t="s">
        <v>28</v>
      </c>
      <c r="I121" s="10">
        <f t="shared" si="1"/>
        <v>326</v>
      </c>
      <c r="J121" s="16">
        <v>46448.0</v>
      </c>
      <c r="K121" s="16">
        <v>44987.0</v>
      </c>
      <c r="L121" s="11" t="s">
        <v>86</v>
      </c>
      <c r="M121" s="11" t="s">
        <v>2155</v>
      </c>
      <c r="O121" s="94" t="s">
        <v>2156</v>
      </c>
      <c r="P121" s="23" t="s">
        <v>2157</v>
      </c>
      <c r="Q121" s="26" t="s">
        <v>1198</v>
      </c>
      <c r="R121" s="26" t="s">
        <v>2158</v>
      </c>
      <c r="S121" s="26" t="s">
        <v>2159</v>
      </c>
      <c r="T121" s="78"/>
      <c r="U121" s="26">
        <v>7.8279825642E10</v>
      </c>
      <c r="V121" s="84">
        <v>24453.0</v>
      </c>
      <c r="W121" s="11" t="s">
        <v>2160</v>
      </c>
      <c r="X121" s="11" t="s">
        <v>2158</v>
      </c>
      <c r="Y121" s="93" t="s">
        <v>2159</v>
      </c>
      <c r="Z121" s="11" t="s">
        <v>2161</v>
      </c>
    </row>
    <row r="122">
      <c r="A122" s="13"/>
      <c r="B122" s="13" t="s">
        <v>2162</v>
      </c>
      <c r="C122" s="71" t="s">
        <v>1224</v>
      </c>
      <c r="D122" s="71" t="s">
        <v>1225</v>
      </c>
      <c r="E122" s="71" t="s">
        <v>1247</v>
      </c>
      <c r="F122" s="71" t="s">
        <v>1247</v>
      </c>
      <c r="G122" s="10" t="s">
        <v>2163</v>
      </c>
      <c r="H122" s="11" t="s">
        <v>28</v>
      </c>
      <c r="I122" s="10">
        <f t="shared" si="1"/>
        <v>319</v>
      </c>
      <c r="J122" s="16">
        <v>46441.0</v>
      </c>
      <c r="K122" s="16">
        <v>44980.0</v>
      </c>
      <c r="L122" s="11" t="s">
        <v>86</v>
      </c>
      <c r="M122" s="10" t="s">
        <v>2164</v>
      </c>
      <c r="N122" s="10" t="s">
        <v>2165</v>
      </c>
      <c r="O122" s="94" t="s">
        <v>2166</v>
      </c>
      <c r="P122" s="23" t="s">
        <v>2167</v>
      </c>
      <c r="Q122" s="26" t="s">
        <v>2168</v>
      </c>
      <c r="R122" s="26" t="s">
        <v>2169</v>
      </c>
      <c r="S122" s="26" t="s">
        <v>2164</v>
      </c>
      <c r="T122" s="26">
        <v>9.12806328E8</v>
      </c>
      <c r="U122" s="26">
        <v>1.4843091857E10</v>
      </c>
      <c r="V122" s="52">
        <v>26089.0</v>
      </c>
    </row>
    <row r="123">
      <c r="A123" s="13"/>
      <c r="B123" s="13" t="s">
        <v>2170</v>
      </c>
      <c r="C123" s="70"/>
      <c r="D123" s="70"/>
      <c r="E123" s="70"/>
      <c r="F123" s="70"/>
      <c r="G123" s="10" t="s">
        <v>2171</v>
      </c>
      <c r="H123" s="11" t="s">
        <v>28</v>
      </c>
      <c r="I123" s="10">
        <f t="shared" si="1"/>
        <v>312</v>
      </c>
      <c r="J123" s="16">
        <v>46434.0</v>
      </c>
      <c r="K123" s="16">
        <v>44973.0</v>
      </c>
      <c r="L123" s="11" t="s">
        <v>86</v>
      </c>
      <c r="M123" s="10" t="s">
        <v>2172</v>
      </c>
      <c r="N123" s="10" t="s">
        <v>2173</v>
      </c>
      <c r="O123" s="94" t="s">
        <v>2174</v>
      </c>
      <c r="P123" s="23" t="s">
        <v>2175</v>
      </c>
      <c r="Q123" s="26" t="s">
        <v>340</v>
      </c>
      <c r="R123" s="26" t="s">
        <v>414</v>
      </c>
      <c r="S123" s="26" t="s">
        <v>2172</v>
      </c>
      <c r="T123" s="78"/>
      <c r="U123" s="26">
        <v>2.0025770895E10</v>
      </c>
      <c r="V123" s="84">
        <v>32122.0</v>
      </c>
    </row>
    <row r="124">
      <c r="A124" s="9"/>
      <c r="B124" s="13" t="s">
        <v>2176</v>
      </c>
      <c r="C124" s="85"/>
      <c r="D124" s="85"/>
      <c r="E124" s="85"/>
      <c r="F124" s="85"/>
      <c r="G124" s="20" t="s">
        <v>2177</v>
      </c>
      <c r="H124" s="11" t="s">
        <v>28</v>
      </c>
      <c r="I124" s="10">
        <f t="shared" si="1"/>
        <v>-785</v>
      </c>
      <c r="J124" s="16">
        <v>45337.0</v>
      </c>
      <c r="K124" s="16">
        <v>44972.0</v>
      </c>
      <c r="L124" s="11" t="s">
        <v>2178</v>
      </c>
      <c r="M124" s="10" t="s">
        <v>2179</v>
      </c>
      <c r="N124" s="10" t="s">
        <v>2180</v>
      </c>
      <c r="O124" s="10" t="s">
        <v>2181</v>
      </c>
      <c r="P124" s="23" t="s">
        <v>2182</v>
      </c>
      <c r="Q124" s="26" t="s">
        <v>204</v>
      </c>
      <c r="R124" s="26" t="s">
        <v>2183</v>
      </c>
      <c r="S124" s="26" t="s">
        <v>2184</v>
      </c>
      <c r="T124" s="26" t="s">
        <v>2185</v>
      </c>
      <c r="U124" s="78"/>
      <c r="V124" s="79"/>
    </row>
    <row r="125">
      <c r="A125" s="13"/>
      <c r="B125" s="13" t="s">
        <v>2186</v>
      </c>
      <c r="C125" s="71" t="s">
        <v>1224</v>
      </c>
      <c r="D125" s="71" t="s">
        <v>1225</v>
      </c>
      <c r="E125" s="70"/>
      <c r="F125" s="70"/>
      <c r="G125" s="10" t="s">
        <v>2187</v>
      </c>
      <c r="H125" s="11" t="s">
        <v>28</v>
      </c>
      <c r="I125" s="10">
        <f t="shared" si="1"/>
        <v>305</v>
      </c>
      <c r="J125" s="16">
        <v>46427.0</v>
      </c>
      <c r="K125" s="16">
        <v>44966.0</v>
      </c>
      <c r="L125" s="11" t="s">
        <v>86</v>
      </c>
      <c r="M125" s="10" t="s">
        <v>2188</v>
      </c>
      <c r="N125" s="10" t="s">
        <v>2189</v>
      </c>
      <c r="O125" s="94" t="s">
        <v>2190</v>
      </c>
      <c r="P125" s="23" t="s">
        <v>2191</v>
      </c>
      <c r="Q125" s="26" t="s">
        <v>263</v>
      </c>
      <c r="R125" s="26" t="s">
        <v>2192</v>
      </c>
      <c r="S125" s="26" t="s">
        <v>2188</v>
      </c>
      <c r="T125" s="26">
        <v>9.89302125E8</v>
      </c>
      <c r="U125" s="26">
        <v>2.0236919651E10</v>
      </c>
      <c r="V125" s="52">
        <v>34159.0</v>
      </c>
    </row>
    <row r="126">
      <c r="A126" s="13"/>
      <c r="B126" s="13" t="s">
        <v>2193</v>
      </c>
      <c r="C126" s="70"/>
      <c r="D126" s="70"/>
      <c r="E126" s="70"/>
      <c r="F126" s="70"/>
      <c r="G126" s="10" t="s">
        <v>2194</v>
      </c>
      <c r="H126" s="11" t="s">
        <v>28</v>
      </c>
      <c r="I126" s="10">
        <f t="shared" si="1"/>
        <v>-793</v>
      </c>
      <c r="J126" s="16">
        <v>45329.0</v>
      </c>
      <c r="K126" s="16">
        <v>44964.0</v>
      </c>
      <c r="L126" s="11" t="s">
        <v>29</v>
      </c>
      <c r="M126" s="10" t="s">
        <v>2195</v>
      </c>
      <c r="N126" s="10">
        <f>36706190565</f>
        <v>36706190565</v>
      </c>
      <c r="O126" s="10" t="s">
        <v>2196</v>
      </c>
      <c r="P126" s="23" t="s">
        <v>2197</v>
      </c>
      <c r="Q126" s="26"/>
      <c r="R126" s="26"/>
      <c r="S126" s="26" t="s">
        <v>2198</v>
      </c>
      <c r="T126" s="26"/>
      <c r="U126" s="26"/>
      <c r="V126" s="52"/>
      <c r="Y126" s="11" t="s">
        <v>2195</v>
      </c>
    </row>
    <row r="127">
      <c r="A127" s="9" t="s">
        <v>2199</v>
      </c>
      <c r="B127" s="13" t="s">
        <v>2200</v>
      </c>
      <c r="C127" s="71" t="s">
        <v>1246</v>
      </c>
      <c r="D127" s="71" t="s">
        <v>1225</v>
      </c>
      <c r="E127" s="70"/>
      <c r="F127" s="70"/>
      <c r="G127" s="10" t="s">
        <v>2201</v>
      </c>
      <c r="H127" s="11" t="s">
        <v>28</v>
      </c>
      <c r="I127" s="10">
        <f t="shared" si="1"/>
        <v>303</v>
      </c>
      <c r="J127" s="16">
        <v>46425.0</v>
      </c>
      <c r="K127" s="16">
        <v>44964.0</v>
      </c>
      <c r="L127" s="11" t="s">
        <v>86</v>
      </c>
      <c r="M127" s="10" t="s">
        <v>2202</v>
      </c>
      <c r="N127" s="24" t="s">
        <v>2203</v>
      </c>
      <c r="O127" s="94" t="s">
        <v>2204</v>
      </c>
      <c r="P127" s="23" t="s">
        <v>2205</v>
      </c>
      <c r="Q127" s="26" t="s">
        <v>940</v>
      </c>
      <c r="R127" s="26" t="s">
        <v>2206</v>
      </c>
      <c r="S127" s="26" t="s">
        <v>2207</v>
      </c>
      <c r="T127" s="78">
        <f>+385976245250</f>
        <v>385976245250</v>
      </c>
      <c r="U127" s="26">
        <v>8.618273642E10</v>
      </c>
      <c r="V127" s="52">
        <v>30506.0</v>
      </c>
    </row>
    <row r="128">
      <c r="A128" s="13"/>
      <c r="B128" s="13" t="s">
        <v>2208</v>
      </c>
      <c r="C128" s="71" t="s">
        <v>1224</v>
      </c>
      <c r="D128" s="71" t="s">
        <v>1225</v>
      </c>
      <c r="E128" s="70"/>
      <c r="F128" s="70"/>
      <c r="G128" s="10" t="s">
        <v>2209</v>
      </c>
      <c r="H128" s="11" t="s">
        <v>28</v>
      </c>
      <c r="I128" s="10">
        <f t="shared" si="1"/>
        <v>297</v>
      </c>
      <c r="J128" s="16">
        <v>46419.0</v>
      </c>
      <c r="K128" s="16">
        <v>44958.0</v>
      </c>
      <c r="L128" s="11" t="s">
        <v>86</v>
      </c>
      <c r="M128" s="10" t="s">
        <v>2210</v>
      </c>
      <c r="N128" s="10" t="s">
        <v>2211</v>
      </c>
      <c r="O128" s="94" t="s">
        <v>2212</v>
      </c>
      <c r="P128" s="23" t="s">
        <v>2213</v>
      </c>
      <c r="Q128" s="26" t="s">
        <v>2214</v>
      </c>
      <c r="R128" s="26" t="s">
        <v>2215</v>
      </c>
      <c r="S128" s="26" t="s">
        <v>2216</v>
      </c>
      <c r="T128" s="26">
        <v>9.8278531E7</v>
      </c>
      <c r="U128" s="26">
        <v>5.0528690303E10</v>
      </c>
      <c r="V128" s="52">
        <v>25622.0</v>
      </c>
    </row>
    <row r="129">
      <c r="A129" s="9" t="s">
        <v>2217</v>
      </c>
      <c r="B129" s="13" t="s">
        <v>2218</v>
      </c>
      <c r="C129" s="71" t="s">
        <v>1246</v>
      </c>
      <c r="D129" s="71" t="s">
        <v>1225</v>
      </c>
      <c r="E129" s="70"/>
      <c r="F129" s="70"/>
      <c r="G129" s="10" t="s">
        <v>2219</v>
      </c>
      <c r="H129" s="11" t="s">
        <v>28</v>
      </c>
      <c r="I129" s="10">
        <f t="shared" si="1"/>
        <v>295</v>
      </c>
      <c r="J129" s="16">
        <v>46417.0</v>
      </c>
      <c r="K129" s="16">
        <v>44956.0</v>
      </c>
      <c r="L129" s="11" t="s">
        <v>86</v>
      </c>
      <c r="M129" s="10" t="s">
        <v>2220</v>
      </c>
      <c r="N129" s="10" t="s">
        <v>2221</v>
      </c>
      <c r="O129" s="94" t="s">
        <v>2222</v>
      </c>
      <c r="P129" s="23" t="s">
        <v>2223</v>
      </c>
      <c r="Q129" s="11" t="s">
        <v>1105</v>
      </c>
      <c r="R129" s="26" t="s">
        <v>2224</v>
      </c>
      <c r="S129" s="26" t="s">
        <v>2225</v>
      </c>
      <c r="T129" s="26">
        <v>9.58566607E8</v>
      </c>
      <c r="U129" s="26">
        <v>6.6608283222E10</v>
      </c>
      <c r="V129" s="52">
        <v>27304.0</v>
      </c>
    </row>
    <row r="130">
      <c r="A130" s="13"/>
      <c r="B130" s="13" t="s">
        <v>2226</v>
      </c>
      <c r="C130" s="70"/>
      <c r="D130" s="70"/>
      <c r="E130" s="70"/>
      <c r="F130" s="70"/>
      <c r="G130" s="10" t="s">
        <v>2227</v>
      </c>
      <c r="H130" s="11" t="s">
        <v>28</v>
      </c>
      <c r="I130" s="10">
        <f t="shared" si="1"/>
        <v>-435</v>
      </c>
      <c r="J130" s="16">
        <v>45687.0</v>
      </c>
      <c r="K130" s="16">
        <v>44956.0</v>
      </c>
      <c r="L130" s="11" t="s">
        <v>29</v>
      </c>
      <c r="M130" s="26" t="s">
        <v>2228</v>
      </c>
      <c r="N130" s="10" t="s">
        <v>2229</v>
      </c>
      <c r="O130" s="94" t="s">
        <v>2230</v>
      </c>
      <c r="P130" s="23" t="s">
        <v>2231</v>
      </c>
      <c r="Q130" s="26" t="s">
        <v>569</v>
      </c>
      <c r="R130" s="26" t="s">
        <v>2232</v>
      </c>
      <c r="S130" s="26" t="s">
        <v>2228</v>
      </c>
      <c r="T130" s="26">
        <v>9.76259529E8</v>
      </c>
      <c r="U130" s="26">
        <v>1.0640057338E10</v>
      </c>
      <c r="V130" s="52">
        <v>29260.0</v>
      </c>
    </row>
    <row r="131">
      <c r="A131" s="13"/>
      <c r="B131" s="13" t="s">
        <v>2233</v>
      </c>
      <c r="C131" s="71" t="s">
        <v>1235</v>
      </c>
      <c r="D131" s="71" t="s">
        <v>1225</v>
      </c>
      <c r="E131" s="70"/>
      <c r="F131" s="71" t="s">
        <v>1247</v>
      </c>
      <c r="G131" s="10" t="s">
        <v>2234</v>
      </c>
      <c r="H131" s="11" t="s">
        <v>28</v>
      </c>
      <c r="I131" s="10">
        <f t="shared" si="1"/>
        <v>291</v>
      </c>
      <c r="J131" s="16">
        <v>46413.0</v>
      </c>
      <c r="K131" s="16">
        <v>44952.0</v>
      </c>
      <c r="L131" s="11" t="s">
        <v>86</v>
      </c>
      <c r="M131" s="10" t="s">
        <v>2235</v>
      </c>
      <c r="N131" s="10" t="s">
        <v>2236</v>
      </c>
      <c r="O131" s="94" t="s">
        <v>2237</v>
      </c>
      <c r="P131" s="23" t="s">
        <v>2238</v>
      </c>
      <c r="Q131" s="26" t="s">
        <v>2239</v>
      </c>
      <c r="R131" s="26" t="s">
        <v>2240</v>
      </c>
      <c r="S131" s="26" t="s">
        <v>2241</v>
      </c>
      <c r="T131" s="26" t="s">
        <v>2242</v>
      </c>
      <c r="U131" s="26">
        <v>2.6329577139E10</v>
      </c>
      <c r="V131" s="27" t="s">
        <v>2243</v>
      </c>
      <c r="W131" s="11" t="s">
        <v>2244</v>
      </c>
      <c r="X131" s="18" t="s">
        <v>2245</v>
      </c>
      <c r="Y131" s="11" t="s">
        <v>2235</v>
      </c>
      <c r="Z131" s="11" t="s">
        <v>2246</v>
      </c>
    </row>
    <row r="132">
      <c r="A132" s="9"/>
      <c r="B132" s="13" t="s">
        <v>2233</v>
      </c>
      <c r="C132" s="70"/>
      <c r="D132" s="70"/>
      <c r="E132" s="70"/>
      <c r="F132" s="71" t="s">
        <v>1247</v>
      </c>
      <c r="G132" s="10" t="s">
        <v>2247</v>
      </c>
      <c r="H132" s="11" t="s">
        <v>28</v>
      </c>
      <c r="I132" s="10">
        <f t="shared" si="1"/>
        <v>-439</v>
      </c>
      <c r="J132" s="16">
        <v>45683.0</v>
      </c>
      <c r="K132" s="16">
        <v>44952.0</v>
      </c>
      <c r="L132" s="11" t="s">
        <v>29</v>
      </c>
      <c r="M132" s="10" t="s">
        <v>2248</v>
      </c>
      <c r="N132" s="10" t="s">
        <v>2236</v>
      </c>
      <c r="O132" s="94" t="s">
        <v>2249</v>
      </c>
      <c r="P132" s="23" t="s">
        <v>2238</v>
      </c>
      <c r="Q132" s="26" t="s">
        <v>2239</v>
      </c>
      <c r="R132" s="26" t="s">
        <v>2240</v>
      </c>
      <c r="S132" s="26" t="s">
        <v>2241</v>
      </c>
      <c r="T132" s="26" t="s">
        <v>2242</v>
      </c>
      <c r="U132" s="26">
        <v>2.6329577139E10</v>
      </c>
      <c r="V132" s="27" t="s">
        <v>2243</v>
      </c>
      <c r="W132" s="11" t="s">
        <v>2244</v>
      </c>
      <c r="X132" s="18" t="s">
        <v>2245</v>
      </c>
      <c r="Y132" s="11" t="s">
        <v>2235</v>
      </c>
      <c r="Z132" s="11" t="s">
        <v>2246</v>
      </c>
    </row>
    <row r="133">
      <c r="A133" s="9" t="s">
        <v>2250</v>
      </c>
      <c r="B133" s="13" t="s">
        <v>2251</v>
      </c>
      <c r="C133" s="70"/>
      <c r="D133" s="70"/>
      <c r="E133" s="70"/>
      <c r="F133" s="70"/>
      <c r="G133" s="10" t="s">
        <v>2252</v>
      </c>
      <c r="H133" s="11" t="s">
        <v>28</v>
      </c>
      <c r="I133" s="10">
        <f t="shared" si="1"/>
        <v>-806</v>
      </c>
      <c r="J133" s="16">
        <v>45316.0</v>
      </c>
      <c r="K133" s="16">
        <v>44951.0</v>
      </c>
      <c r="L133" s="11" t="s">
        <v>2178</v>
      </c>
      <c r="M133" s="10" t="s">
        <v>2253</v>
      </c>
      <c r="N133" s="10" t="s">
        <v>2254</v>
      </c>
      <c r="O133" s="10" t="s">
        <v>2255</v>
      </c>
      <c r="P133" s="23" t="s">
        <v>991</v>
      </c>
      <c r="Q133" s="26" t="s">
        <v>988</v>
      </c>
      <c r="R133" s="26" t="s">
        <v>989</v>
      </c>
      <c r="S133" s="26" t="s">
        <v>990</v>
      </c>
      <c r="T133" s="78" t="str">
        <f>+385 97 619 4858</f>
        <v>#ERROR!</v>
      </c>
      <c r="U133" s="26">
        <v>6.9606600127E10</v>
      </c>
      <c r="V133" s="52">
        <v>30125.0</v>
      </c>
    </row>
    <row r="134">
      <c r="A134" s="13"/>
      <c r="B134" s="13" t="s">
        <v>2256</v>
      </c>
      <c r="C134" s="70"/>
      <c r="D134" s="70"/>
      <c r="E134" s="70"/>
      <c r="F134" s="70"/>
      <c r="G134" s="10" t="s">
        <v>2257</v>
      </c>
      <c r="H134" s="11" t="s">
        <v>28</v>
      </c>
      <c r="I134" s="10">
        <f t="shared" si="1"/>
        <v>-442</v>
      </c>
      <c r="J134" s="16">
        <v>45680.0</v>
      </c>
      <c r="K134" s="16">
        <v>44949.0</v>
      </c>
      <c r="L134" s="11" t="s">
        <v>29</v>
      </c>
      <c r="M134" s="10" t="s">
        <v>2258</v>
      </c>
      <c r="N134" s="10" t="s">
        <v>2259</v>
      </c>
      <c r="O134" s="94" t="s">
        <v>2260</v>
      </c>
      <c r="P134" s="23" t="s">
        <v>2261</v>
      </c>
      <c r="Q134" s="26" t="s">
        <v>2262</v>
      </c>
      <c r="R134" s="26" t="s">
        <v>2263</v>
      </c>
      <c r="S134" s="26" t="s">
        <v>2258</v>
      </c>
      <c r="T134" s="26">
        <v>4.0396524E7</v>
      </c>
      <c r="U134" s="26">
        <v>2.093960789E10</v>
      </c>
      <c r="V134" s="27">
        <v>1.9950701E7</v>
      </c>
      <c r="W134" s="11" t="s">
        <v>2264</v>
      </c>
      <c r="X134" s="11" t="s">
        <v>2265</v>
      </c>
      <c r="AA134" s="11">
        <v>1.2406587422E10</v>
      </c>
      <c r="AB134" s="11">
        <v>1.9930803E7</v>
      </c>
    </row>
    <row r="135">
      <c r="A135" s="13"/>
      <c r="B135" s="13" t="s">
        <v>2266</v>
      </c>
      <c r="C135" s="71" t="s">
        <v>1235</v>
      </c>
      <c r="D135" s="71" t="s">
        <v>1225</v>
      </c>
      <c r="E135" s="70"/>
      <c r="F135" s="70"/>
      <c r="G135" s="10" t="s">
        <v>2267</v>
      </c>
      <c r="H135" s="11" t="s">
        <v>28</v>
      </c>
      <c r="I135" s="10">
        <f t="shared" si="1"/>
        <v>288</v>
      </c>
      <c r="J135" s="16">
        <v>46410.0</v>
      </c>
      <c r="K135" s="16">
        <v>44949.0</v>
      </c>
      <c r="L135" s="11" t="s">
        <v>86</v>
      </c>
      <c r="M135" s="10" t="s">
        <v>2268</v>
      </c>
      <c r="N135" s="10" t="s">
        <v>2269</v>
      </c>
      <c r="O135" s="94" t="s">
        <v>2270</v>
      </c>
      <c r="P135" s="23" t="s">
        <v>2271</v>
      </c>
      <c r="Q135" s="26" t="s">
        <v>34</v>
      </c>
      <c r="R135" s="26" t="s">
        <v>2272</v>
      </c>
      <c r="S135" s="26" t="s">
        <v>2273</v>
      </c>
      <c r="T135" s="26">
        <v>9.8351151E7</v>
      </c>
      <c r="U135" s="26">
        <v>8.8693436605E10</v>
      </c>
      <c r="V135" s="84">
        <v>29542.0</v>
      </c>
    </row>
    <row r="136">
      <c r="A136" s="13"/>
      <c r="B136" s="13" t="s">
        <v>2274</v>
      </c>
      <c r="C136" s="71" t="s">
        <v>1224</v>
      </c>
      <c r="D136" s="71" t="s">
        <v>1225</v>
      </c>
      <c r="E136" s="70"/>
      <c r="F136" s="71" t="s">
        <v>1247</v>
      </c>
      <c r="G136" s="10" t="s">
        <v>2275</v>
      </c>
      <c r="H136" s="11" t="s">
        <v>28</v>
      </c>
      <c r="I136" s="10">
        <f t="shared" si="1"/>
        <v>278</v>
      </c>
      <c r="J136" s="16">
        <v>46400.0</v>
      </c>
      <c r="K136" s="16">
        <v>44939.0</v>
      </c>
      <c r="L136" s="11" t="s">
        <v>86</v>
      </c>
      <c r="M136" s="10" t="s">
        <v>2276</v>
      </c>
      <c r="N136" s="10" t="s">
        <v>2277</v>
      </c>
      <c r="O136" s="94" t="s">
        <v>2278</v>
      </c>
      <c r="P136" s="15" t="s">
        <v>2279</v>
      </c>
      <c r="Q136" s="26" t="s">
        <v>2280</v>
      </c>
      <c r="R136" s="26" t="s">
        <v>2281</v>
      </c>
      <c r="S136" s="26" t="s">
        <v>2282</v>
      </c>
      <c r="T136" s="26">
        <v>9.1315888E8</v>
      </c>
      <c r="U136" s="26">
        <v>8.7310842572E10</v>
      </c>
      <c r="V136" s="52">
        <v>30088.0</v>
      </c>
      <c r="W136" s="11" t="s">
        <v>584</v>
      </c>
      <c r="X136" s="11" t="s">
        <v>2283</v>
      </c>
      <c r="Y136" s="11" t="s">
        <v>2284</v>
      </c>
      <c r="Z136" s="11">
        <v>9.58593835E8</v>
      </c>
      <c r="AA136" s="11">
        <v>1.1205013688E10</v>
      </c>
      <c r="AB136" s="16">
        <v>30468.0</v>
      </c>
    </row>
    <row r="137">
      <c r="A137" s="9"/>
      <c r="B137" s="13" t="s">
        <v>2285</v>
      </c>
      <c r="C137" s="70"/>
      <c r="D137" s="70"/>
      <c r="E137" s="70"/>
      <c r="F137" s="70"/>
      <c r="G137" s="10" t="s">
        <v>2286</v>
      </c>
      <c r="H137" s="11" t="s">
        <v>28</v>
      </c>
      <c r="I137" s="10">
        <f t="shared" si="1"/>
        <v>-821</v>
      </c>
      <c r="J137" s="16">
        <v>45301.0</v>
      </c>
      <c r="K137" s="16">
        <v>44936.0</v>
      </c>
      <c r="L137" s="11" t="s">
        <v>29</v>
      </c>
      <c r="M137" s="10" t="s">
        <v>2287</v>
      </c>
      <c r="N137" s="10" t="s">
        <v>2288</v>
      </c>
      <c r="O137" s="94" t="s">
        <v>2289</v>
      </c>
      <c r="P137" s="23" t="s">
        <v>2290</v>
      </c>
      <c r="Q137" s="26" t="s">
        <v>2291</v>
      </c>
      <c r="R137" s="26" t="s">
        <v>2292</v>
      </c>
      <c r="S137" s="26" t="s">
        <v>2293</v>
      </c>
      <c r="T137" s="26">
        <v>9.59154469E8</v>
      </c>
      <c r="U137" s="26">
        <v>9.0563584798E10</v>
      </c>
      <c r="V137" s="52">
        <v>29745.0</v>
      </c>
    </row>
    <row r="138">
      <c r="A138" s="13"/>
      <c r="B138" s="13" t="s">
        <v>2294</v>
      </c>
      <c r="C138" s="85"/>
      <c r="D138" s="85"/>
      <c r="E138" s="85"/>
      <c r="F138" s="85"/>
      <c r="G138" s="20" t="s">
        <v>2295</v>
      </c>
      <c r="H138" s="11" t="s">
        <v>28</v>
      </c>
      <c r="I138" s="10">
        <f t="shared" si="1"/>
        <v>-840</v>
      </c>
      <c r="J138" s="12">
        <v>45282.0</v>
      </c>
      <c r="K138" s="12">
        <v>44917.0</v>
      </c>
      <c r="L138" s="11" t="s">
        <v>2178</v>
      </c>
      <c r="M138" s="10" t="s">
        <v>2296</v>
      </c>
      <c r="N138" s="10">
        <f>385917659323</f>
        <v>385917659323</v>
      </c>
      <c r="O138" s="10" t="s">
        <v>2297</v>
      </c>
      <c r="P138" s="23" t="s">
        <v>2298</v>
      </c>
      <c r="Q138" s="26" t="s">
        <v>2299</v>
      </c>
      <c r="R138" s="26" t="s">
        <v>2300</v>
      </c>
      <c r="S138" s="26" t="s">
        <v>2296</v>
      </c>
      <c r="T138" s="26">
        <v>3.85917659323E11</v>
      </c>
      <c r="U138" s="26" t="s">
        <v>2301</v>
      </c>
      <c r="V138" s="27" t="s">
        <v>2302</v>
      </c>
    </row>
    <row r="139">
      <c r="A139" s="13"/>
      <c r="B139" s="13" t="s">
        <v>2303</v>
      </c>
      <c r="C139" s="70"/>
      <c r="D139" s="70"/>
      <c r="E139" s="70"/>
      <c r="F139" s="70"/>
      <c r="G139" s="10" t="s">
        <v>2304</v>
      </c>
      <c r="H139" s="11" t="s">
        <v>28</v>
      </c>
      <c r="I139" s="10">
        <f t="shared" si="1"/>
        <v>-847</v>
      </c>
      <c r="J139" s="12">
        <v>45275.0</v>
      </c>
      <c r="K139" s="12">
        <v>44910.0</v>
      </c>
      <c r="L139" s="11" t="s">
        <v>2178</v>
      </c>
      <c r="M139" s="10" t="s">
        <v>2305</v>
      </c>
      <c r="N139" s="10" t="s">
        <v>2306</v>
      </c>
      <c r="O139" s="10" t="s">
        <v>2307</v>
      </c>
      <c r="P139" s="23" t="s">
        <v>2308</v>
      </c>
      <c r="Q139" s="26" t="s">
        <v>373</v>
      </c>
      <c r="R139" s="26" t="s">
        <v>2309</v>
      </c>
      <c r="S139" s="26" t="s">
        <v>2310</v>
      </c>
      <c r="T139" s="78"/>
      <c r="U139" s="26">
        <v>6.9386526692E10</v>
      </c>
      <c r="V139" s="84">
        <v>28849.0</v>
      </c>
    </row>
    <row r="140">
      <c r="A140" s="13"/>
      <c r="B140" s="13" t="s">
        <v>2311</v>
      </c>
      <c r="C140" s="71" t="s">
        <v>1235</v>
      </c>
      <c r="D140" s="71" t="s">
        <v>1225</v>
      </c>
      <c r="E140" s="70"/>
      <c r="F140" s="70"/>
      <c r="G140" s="10" t="s">
        <v>2312</v>
      </c>
      <c r="H140" s="11" t="s">
        <v>28</v>
      </c>
      <c r="I140" s="10">
        <f t="shared" si="1"/>
        <v>606</v>
      </c>
      <c r="J140" s="16">
        <v>46728.0</v>
      </c>
      <c r="K140" s="16">
        <v>44902.0</v>
      </c>
      <c r="L140" s="11" t="s">
        <v>86</v>
      </c>
      <c r="M140" s="10" t="s">
        <v>2313</v>
      </c>
      <c r="N140" s="10" t="s">
        <v>2314</v>
      </c>
      <c r="O140" s="94" t="s">
        <v>2315</v>
      </c>
      <c r="P140" s="23" t="s">
        <v>2316</v>
      </c>
      <c r="Q140" s="26" t="s">
        <v>2317</v>
      </c>
      <c r="R140" s="26" t="s">
        <v>2318</v>
      </c>
      <c r="S140" s="26" t="s">
        <v>2319</v>
      </c>
      <c r="T140" s="26">
        <v>9.15398969E8</v>
      </c>
      <c r="U140" s="26">
        <v>2.0119418537E10</v>
      </c>
      <c r="V140" s="52">
        <v>28951.0</v>
      </c>
    </row>
    <row r="141">
      <c r="A141" s="13"/>
      <c r="B141" s="13" t="s">
        <v>2311</v>
      </c>
      <c r="C141" s="71"/>
      <c r="D141" s="71"/>
      <c r="E141" s="70"/>
      <c r="F141" s="70"/>
      <c r="G141" s="10" t="s">
        <v>2320</v>
      </c>
      <c r="H141" s="11" t="s">
        <v>28</v>
      </c>
      <c r="I141" s="10">
        <f t="shared" si="1"/>
        <v>-124</v>
      </c>
      <c r="J141" s="16">
        <v>45998.0</v>
      </c>
      <c r="K141" s="16">
        <v>44902.0</v>
      </c>
      <c r="L141" s="11" t="s">
        <v>29</v>
      </c>
      <c r="M141" s="10" t="s">
        <v>2321</v>
      </c>
      <c r="N141" s="10" t="s">
        <v>2322</v>
      </c>
      <c r="O141" s="94" t="s">
        <v>2315</v>
      </c>
      <c r="P141" s="23" t="s">
        <v>2316</v>
      </c>
      <c r="Q141" s="26" t="s">
        <v>2317</v>
      </c>
      <c r="R141" s="26" t="s">
        <v>2318</v>
      </c>
      <c r="S141" s="26" t="s">
        <v>2319</v>
      </c>
      <c r="T141" s="26">
        <v>9.15398969E8</v>
      </c>
      <c r="U141" s="26">
        <v>2.0119418537E10</v>
      </c>
      <c r="V141" s="52">
        <v>28951.0</v>
      </c>
    </row>
    <row r="142">
      <c r="A142" s="13"/>
      <c r="B142" s="13" t="s">
        <v>2323</v>
      </c>
      <c r="C142" s="71" t="s">
        <v>1300</v>
      </c>
      <c r="D142" s="71" t="s">
        <v>1225</v>
      </c>
      <c r="E142" s="70"/>
      <c r="F142" s="70"/>
      <c r="G142" s="10" t="s">
        <v>2324</v>
      </c>
      <c r="H142" s="11" t="s">
        <v>28</v>
      </c>
      <c r="I142" s="10">
        <f t="shared" si="1"/>
        <v>597</v>
      </c>
      <c r="J142" s="12">
        <v>46719.0</v>
      </c>
      <c r="K142" s="12">
        <v>44893.0</v>
      </c>
      <c r="L142" s="11" t="s">
        <v>86</v>
      </c>
      <c r="M142" s="29" t="s">
        <v>2325</v>
      </c>
      <c r="N142" s="10" t="s">
        <v>2326</v>
      </c>
      <c r="O142" s="94" t="s">
        <v>2327</v>
      </c>
      <c r="P142" s="23" t="s">
        <v>2328</v>
      </c>
      <c r="Q142" s="26" t="s">
        <v>698</v>
      </c>
      <c r="R142" s="26" t="s">
        <v>2329</v>
      </c>
      <c r="S142" s="26" t="s">
        <v>2330</v>
      </c>
      <c r="T142" s="26">
        <v>9.15032717E8</v>
      </c>
      <c r="U142" s="26">
        <v>5.0746874401E10</v>
      </c>
      <c r="V142" s="84">
        <v>29209.0</v>
      </c>
      <c r="W142" s="11" t="s">
        <v>2068</v>
      </c>
      <c r="X142" s="11" t="s">
        <v>2329</v>
      </c>
      <c r="Z142" s="11">
        <v>9.16110302E8</v>
      </c>
      <c r="AA142" s="11">
        <v>3.2666966556E10</v>
      </c>
      <c r="AB142" s="16">
        <v>29135.0</v>
      </c>
    </row>
    <row r="143">
      <c r="A143" s="9" t="s">
        <v>2331</v>
      </c>
      <c r="B143" s="13" t="s">
        <v>2332</v>
      </c>
      <c r="C143" s="71" t="s">
        <v>1484</v>
      </c>
      <c r="D143" s="71" t="s">
        <v>1225</v>
      </c>
      <c r="E143" s="70"/>
      <c r="F143" s="70"/>
      <c r="G143" s="10" t="s">
        <v>2333</v>
      </c>
      <c r="H143" s="11" t="s">
        <v>28</v>
      </c>
      <c r="I143" s="10">
        <f t="shared" si="1"/>
        <v>-95</v>
      </c>
      <c r="J143" s="16">
        <v>46027.0</v>
      </c>
      <c r="K143" s="12">
        <v>44890.0</v>
      </c>
      <c r="L143" s="11" t="s">
        <v>86</v>
      </c>
      <c r="M143" s="11" t="s">
        <v>2334</v>
      </c>
      <c r="N143" s="10" t="s">
        <v>2335</v>
      </c>
      <c r="O143" s="94" t="s">
        <v>2336</v>
      </c>
      <c r="P143" s="23" t="s">
        <v>2337</v>
      </c>
      <c r="Q143" s="26" t="s">
        <v>376</v>
      </c>
      <c r="R143" s="26" t="s">
        <v>2338</v>
      </c>
      <c r="S143" s="26" t="s">
        <v>2339</v>
      </c>
      <c r="T143" s="26">
        <v>9.51984978E8</v>
      </c>
      <c r="U143" s="26">
        <v>6.403422894E9</v>
      </c>
      <c r="V143" s="52">
        <v>30749.0</v>
      </c>
    </row>
    <row r="144">
      <c r="A144" s="13"/>
      <c r="B144" s="13" t="s">
        <v>2340</v>
      </c>
      <c r="C144" s="70"/>
      <c r="D144" s="70"/>
      <c r="E144" s="70"/>
      <c r="F144" s="70"/>
      <c r="G144" s="10" t="s">
        <v>2341</v>
      </c>
      <c r="H144" s="11" t="s">
        <v>28</v>
      </c>
      <c r="I144" s="10">
        <f t="shared" si="1"/>
        <v>-140</v>
      </c>
      <c r="J144" s="12">
        <v>45982.0</v>
      </c>
      <c r="K144" s="12">
        <v>44886.0</v>
      </c>
      <c r="L144" s="11" t="s">
        <v>29</v>
      </c>
      <c r="M144" s="10" t="s">
        <v>2342</v>
      </c>
      <c r="N144" s="10" t="s">
        <v>2343</v>
      </c>
      <c r="O144" s="94" t="s">
        <v>2344</v>
      </c>
      <c r="P144" s="23" t="s">
        <v>2345</v>
      </c>
      <c r="Q144" s="26" t="s">
        <v>2076</v>
      </c>
      <c r="R144" s="26" t="s">
        <v>2346</v>
      </c>
      <c r="S144" s="26" t="s">
        <v>2347</v>
      </c>
      <c r="T144" s="26">
        <v>5.2428545E7</v>
      </c>
      <c r="U144" s="26">
        <v>5.7978753108E10</v>
      </c>
      <c r="V144" s="84">
        <v>27326.0</v>
      </c>
    </row>
    <row r="145">
      <c r="A145" s="13"/>
      <c r="B145" s="13" t="s">
        <v>2348</v>
      </c>
      <c r="C145" s="71" t="s">
        <v>1484</v>
      </c>
      <c r="D145" s="71" t="s">
        <v>1225</v>
      </c>
      <c r="E145" s="70"/>
      <c r="F145" s="71" t="s">
        <v>1247</v>
      </c>
      <c r="G145" s="20" t="s">
        <v>2349</v>
      </c>
      <c r="H145" s="11" t="s">
        <v>28</v>
      </c>
      <c r="I145" s="10">
        <f t="shared" si="1"/>
        <v>-164</v>
      </c>
      <c r="J145" s="12">
        <v>45958.0</v>
      </c>
      <c r="K145" s="12">
        <v>44862.0</v>
      </c>
      <c r="L145" s="11" t="s">
        <v>86</v>
      </c>
      <c r="M145" s="29" t="s">
        <v>2350</v>
      </c>
      <c r="N145" s="10" t="s">
        <v>2351</v>
      </c>
      <c r="O145" s="94" t="s">
        <v>2352</v>
      </c>
      <c r="P145" s="23" t="s">
        <v>2353</v>
      </c>
      <c r="Q145" s="26" t="s">
        <v>698</v>
      </c>
      <c r="R145" s="26" t="s">
        <v>2354</v>
      </c>
      <c r="S145" s="26" t="s">
        <v>2355</v>
      </c>
      <c r="T145" s="26">
        <v>9.18808834E8</v>
      </c>
      <c r="U145" s="26">
        <v>4.2230691795E10</v>
      </c>
      <c r="V145" s="52">
        <v>32790.0</v>
      </c>
    </row>
    <row r="146">
      <c r="A146" s="13"/>
      <c r="B146" s="13" t="s">
        <v>2356</v>
      </c>
      <c r="C146" s="85"/>
      <c r="D146" s="85"/>
      <c r="E146" s="85"/>
      <c r="F146" s="85"/>
      <c r="G146" s="20" t="s">
        <v>2357</v>
      </c>
      <c r="H146" s="11" t="s">
        <v>28</v>
      </c>
      <c r="I146" s="10">
        <f t="shared" si="1"/>
        <v>-410</v>
      </c>
      <c r="J146" s="16">
        <v>45712.0</v>
      </c>
      <c r="K146" s="16">
        <v>44839.0</v>
      </c>
      <c r="L146" s="11" t="s">
        <v>29</v>
      </c>
      <c r="O146" s="94"/>
      <c r="P146" s="23"/>
      <c r="Q146" s="26" t="s">
        <v>2358</v>
      </c>
      <c r="R146" s="26" t="s">
        <v>2359</v>
      </c>
      <c r="S146" s="26" t="s">
        <v>2360</v>
      </c>
      <c r="T146" s="26" t="s">
        <v>2361</v>
      </c>
      <c r="U146" s="78"/>
      <c r="V146" s="79"/>
    </row>
    <row r="147">
      <c r="A147" s="13"/>
      <c r="B147" s="13" t="s">
        <v>2362</v>
      </c>
      <c r="C147" s="71" t="s">
        <v>1235</v>
      </c>
      <c r="D147" s="71" t="s">
        <v>1225</v>
      </c>
      <c r="E147" s="70"/>
      <c r="F147" s="71" t="s">
        <v>1247</v>
      </c>
      <c r="G147" s="10" t="s">
        <v>2363</v>
      </c>
      <c r="H147" s="11" t="s">
        <v>28</v>
      </c>
      <c r="I147" s="10">
        <f t="shared" si="1"/>
        <v>535</v>
      </c>
      <c r="J147" s="16">
        <v>46657.0</v>
      </c>
      <c r="K147" s="16">
        <v>44831.0</v>
      </c>
      <c r="L147" s="11" t="s">
        <v>86</v>
      </c>
      <c r="M147" s="11" t="s">
        <v>2364</v>
      </c>
      <c r="O147" s="58" t="s">
        <v>2365</v>
      </c>
      <c r="P147" s="15" t="s">
        <v>2366</v>
      </c>
      <c r="Q147" s="26" t="s">
        <v>2367</v>
      </c>
      <c r="R147" s="26" t="s">
        <v>2368</v>
      </c>
      <c r="S147" s="26" t="s">
        <v>2369</v>
      </c>
      <c r="T147" s="26">
        <v>9.17821495E8</v>
      </c>
      <c r="U147" s="78"/>
      <c r="V147" s="79"/>
    </row>
    <row r="148">
      <c r="A148" s="9"/>
      <c r="B148" s="13" t="s">
        <v>2370</v>
      </c>
      <c r="C148" s="71" t="s">
        <v>1246</v>
      </c>
      <c r="D148" s="71" t="s">
        <v>1225</v>
      </c>
      <c r="E148" s="70"/>
      <c r="F148" s="70"/>
      <c r="G148" s="29" t="s">
        <v>2371</v>
      </c>
      <c r="H148" s="11" t="s">
        <v>28</v>
      </c>
      <c r="I148" s="10">
        <f t="shared" si="1"/>
        <v>186</v>
      </c>
      <c r="J148" s="16">
        <v>46308.0</v>
      </c>
      <c r="K148" s="16">
        <v>44830.0</v>
      </c>
      <c r="L148" s="11" t="s">
        <v>86</v>
      </c>
      <c r="O148" s="94"/>
      <c r="P148" s="23"/>
      <c r="Q148" s="26" t="s">
        <v>2372</v>
      </c>
      <c r="R148" s="26" t="s">
        <v>2373</v>
      </c>
      <c r="S148" s="26" t="s">
        <v>2374</v>
      </c>
      <c r="T148" s="78"/>
      <c r="U148" s="78"/>
      <c r="V148" s="79"/>
    </row>
    <row r="149">
      <c r="A149" s="9" t="s">
        <v>2375</v>
      </c>
      <c r="B149" s="13" t="s">
        <v>2376</v>
      </c>
      <c r="C149" s="71" t="s">
        <v>1224</v>
      </c>
      <c r="D149" s="71" t="s">
        <v>1225</v>
      </c>
      <c r="E149" s="70"/>
      <c r="F149" s="70"/>
      <c r="G149" s="10" t="s">
        <v>2377</v>
      </c>
      <c r="H149" s="11" t="s">
        <v>28</v>
      </c>
      <c r="I149" s="10">
        <f t="shared" si="1"/>
        <v>532</v>
      </c>
      <c r="J149" s="16">
        <v>46654.0</v>
      </c>
      <c r="K149" s="16">
        <v>44828.0</v>
      </c>
      <c r="L149" s="11" t="s">
        <v>86</v>
      </c>
      <c r="M149" s="11" t="s">
        <v>2378</v>
      </c>
      <c r="O149" s="94"/>
      <c r="P149" s="23"/>
      <c r="Q149" s="26" t="s">
        <v>2379</v>
      </c>
      <c r="R149" s="26" t="s">
        <v>2380</v>
      </c>
      <c r="S149" s="26" t="s">
        <v>2381</v>
      </c>
      <c r="T149" s="78">
        <f>+421911111152</f>
        <v>421911111152</v>
      </c>
      <c r="U149" s="78"/>
      <c r="V149" s="79"/>
    </row>
    <row r="150">
      <c r="A150" s="9" t="s">
        <v>2382</v>
      </c>
      <c r="B150" s="13" t="s">
        <v>2383</v>
      </c>
      <c r="C150" s="71" t="s">
        <v>1300</v>
      </c>
      <c r="D150" s="71" t="s">
        <v>1225</v>
      </c>
      <c r="E150" s="70"/>
      <c r="F150" s="71" t="s">
        <v>1247</v>
      </c>
      <c r="G150" s="10" t="s">
        <v>2384</v>
      </c>
      <c r="H150" s="11" t="s">
        <v>28</v>
      </c>
      <c r="I150" s="10">
        <f t="shared" si="1"/>
        <v>500</v>
      </c>
      <c r="J150" s="16">
        <v>46622.0</v>
      </c>
      <c r="K150" s="16">
        <v>44796.0</v>
      </c>
      <c r="L150" s="11" t="s">
        <v>86</v>
      </c>
      <c r="M150" s="10" t="s">
        <v>2385</v>
      </c>
      <c r="N150" s="10" t="s">
        <v>2386</v>
      </c>
      <c r="O150" s="94" t="s">
        <v>2387</v>
      </c>
      <c r="P150" s="23" t="s">
        <v>2388</v>
      </c>
      <c r="Q150" s="26" t="s">
        <v>736</v>
      </c>
      <c r="R150" s="93" t="s">
        <v>2389</v>
      </c>
      <c r="S150" s="26" t="s">
        <v>2390</v>
      </c>
      <c r="T150" s="78"/>
      <c r="U150" s="26"/>
      <c r="V150" s="27"/>
      <c r="W150" s="11" t="s">
        <v>2391</v>
      </c>
      <c r="X150" s="18" t="s">
        <v>2392</v>
      </c>
      <c r="Y150" s="98" t="s">
        <v>2393</v>
      </c>
    </row>
    <row r="151">
      <c r="A151" s="13"/>
      <c r="B151" s="13" t="s">
        <v>2394</v>
      </c>
      <c r="C151" s="71" t="s">
        <v>1300</v>
      </c>
      <c r="D151" s="71" t="s">
        <v>1225</v>
      </c>
      <c r="E151" s="70"/>
      <c r="F151" s="70"/>
      <c r="G151" s="10" t="s">
        <v>2395</v>
      </c>
      <c r="H151" s="11" t="s">
        <v>28</v>
      </c>
      <c r="I151" s="10">
        <f t="shared" si="1"/>
        <v>-110</v>
      </c>
      <c r="J151" s="12">
        <v>46012.0</v>
      </c>
      <c r="K151" s="16">
        <v>44750.0</v>
      </c>
      <c r="L151" s="11" t="s">
        <v>86</v>
      </c>
      <c r="M151" s="10" t="s">
        <v>2396</v>
      </c>
      <c r="N151" s="10" t="s">
        <v>2397</v>
      </c>
      <c r="O151" s="94" t="s">
        <v>2398</v>
      </c>
      <c r="P151" s="23" t="s">
        <v>2399</v>
      </c>
      <c r="Q151" s="26" t="s">
        <v>2372</v>
      </c>
      <c r="R151" s="26" t="s">
        <v>2400</v>
      </c>
      <c r="S151" s="26" t="s">
        <v>2401</v>
      </c>
      <c r="T151" s="26" t="s">
        <v>2397</v>
      </c>
      <c r="U151" s="26">
        <v>1.3141858107E10</v>
      </c>
      <c r="V151" s="27" t="s">
        <v>2402</v>
      </c>
      <c r="W151" s="11" t="s">
        <v>1880</v>
      </c>
      <c r="X151" s="11" t="s">
        <v>2400</v>
      </c>
      <c r="Y151" s="11" t="s">
        <v>2403</v>
      </c>
      <c r="Z151" s="11" t="s">
        <v>2404</v>
      </c>
      <c r="AA151" s="11">
        <v>8.6291886365E10</v>
      </c>
      <c r="AB151" s="11" t="s">
        <v>2405</v>
      </c>
    </row>
    <row r="152" ht="14.25" customHeight="1">
      <c r="A152" s="13"/>
      <c r="B152" s="9" t="s">
        <v>2406</v>
      </c>
      <c r="C152" s="71"/>
      <c r="D152" s="71"/>
      <c r="E152" s="71"/>
      <c r="F152" s="70"/>
      <c r="G152" s="10" t="s">
        <v>2407</v>
      </c>
      <c r="H152" s="11" t="s">
        <v>28</v>
      </c>
      <c r="I152" s="10">
        <f t="shared" si="1"/>
        <v>-1073</v>
      </c>
      <c r="J152" s="16">
        <v>45049.0</v>
      </c>
      <c r="K152" s="16">
        <v>44684.0</v>
      </c>
      <c r="L152" s="11" t="s">
        <v>2178</v>
      </c>
      <c r="M152" s="10" t="s">
        <v>2408</v>
      </c>
      <c r="N152" s="11">
        <v>1.6458914E7</v>
      </c>
      <c r="O152" s="10" t="s">
        <v>2409</v>
      </c>
      <c r="P152" s="15" t="s">
        <v>2410</v>
      </c>
      <c r="Q152" s="26" t="s">
        <v>2411</v>
      </c>
      <c r="R152" s="26" t="s">
        <v>2412</v>
      </c>
      <c r="S152" s="26" t="s">
        <v>2413</v>
      </c>
      <c r="T152" s="26">
        <v>9.94661798E8</v>
      </c>
      <c r="U152" s="26">
        <v>3.7428936134E10</v>
      </c>
      <c r="V152" s="27" t="s">
        <v>2414</v>
      </c>
    </row>
    <row r="153">
      <c r="A153" s="13"/>
      <c r="B153" s="9" t="s">
        <v>2415</v>
      </c>
      <c r="C153" s="70"/>
      <c r="D153" s="70"/>
      <c r="E153" s="70"/>
      <c r="F153" s="70"/>
      <c r="G153" s="10" t="s">
        <v>2416</v>
      </c>
      <c r="H153" s="11" t="s">
        <v>28</v>
      </c>
      <c r="I153" s="10">
        <f t="shared" si="1"/>
        <v>-1078</v>
      </c>
      <c r="J153" s="16">
        <v>45044.0</v>
      </c>
      <c r="K153" s="16">
        <v>44679.0</v>
      </c>
      <c r="L153" s="11" t="s">
        <v>2178</v>
      </c>
      <c r="M153" s="10" t="s">
        <v>2417</v>
      </c>
      <c r="N153" s="10" t="s">
        <v>2418</v>
      </c>
      <c r="O153" s="10" t="s">
        <v>2419</v>
      </c>
      <c r="P153" s="23" t="s">
        <v>2420</v>
      </c>
      <c r="Q153" s="26" t="s">
        <v>373</v>
      </c>
      <c r="R153" s="26" t="s">
        <v>2421</v>
      </c>
      <c r="S153" s="26" t="s">
        <v>2422</v>
      </c>
      <c r="T153" s="78"/>
      <c r="U153" s="26">
        <v>1.6491211E7</v>
      </c>
      <c r="V153" s="27" t="s">
        <v>2423</v>
      </c>
      <c r="W153" s="11" t="s">
        <v>1262</v>
      </c>
      <c r="X153" s="11" t="s">
        <v>2424</v>
      </c>
      <c r="Y153" s="11" t="s">
        <v>2425</v>
      </c>
      <c r="AB153" s="11" t="s">
        <v>2426</v>
      </c>
    </row>
    <row r="154">
      <c r="A154" s="9" t="s">
        <v>2104</v>
      </c>
      <c r="B154" s="13" t="s">
        <v>2427</v>
      </c>
      <c r="C154" s="71" t="s">
        <v>1246</v>
      </c>
      <c r="D154" s="71" t="s">
        <v>1225</v>
      </c>
      <c r="E154" s="70"/>
      <c r="F154" s="71" t="s">
        <v>1247</v>
      </c>
      <c r="G154" s="10" t="s">
        <v>2428</v>
      </c>
      <c r="H154" s="11" t="s">
        <v>28</v>
      </c>
      <c r="I154" s="10">
        <f t="shared" si="1"/>
        <v>378</v>
      </c>
      <c r="J154" s="16">
        <v>46500.0</v>
      </c>
      <c r="K154" s="16">
        <v>44679.0</v>
      </c>
      <c r="L154" s="11" t="s">
        <v>86</v>
      </c>
      <c r="M154" s="10" t="s">
        <v>2429</v>
      </c>
      <c r="N154" s="10" t="s">
        <v>2430</v>
      </c>
      <c r="O154" s="94" t="s">
        <v>2431</v>
      </c>
      <c r="P154" s="10" t="s">
        <v>2432</v>
      </c>
      <c r="Q154" s="26" t="s">
        <v>2126</v>
      </c>
      <c r="R154" s="26" t="s">
        <v>2433</v>
      </c>
      <c r="S154" s="26" t="s">
        <v>2434</v>
      </c>
      <c r="T154" s="26">
        <v>3.85994950717E11</v>
      </c>
      <c r="U154" s="26">
        <v>3.2523688342E10</v>
      </c>
      <c r="V154" s="27" t="s">
        <v>2435</v>
      </c>
      <c r="W154" s="11" t="s">
        <v>1434</v>
      </c>
      <c r="Y154" s="11" t="s">
        <v>2436</v>
      </c>
    </row>
    <row r="155">
      <c r="A155" s="13"/>
      <c r="B155" s="13" t="s">
        <v>2437</v>
      </c>
      <c r="C155" s="71" t="s">
        <v>1246</v>
      </c>
      <c r="D155" s="71" t="s">
        <v>1225</v>
      </c>
      <c r="E155" s="70"/>
      <c r="F155" s="71" t="s">
        <v>1247</v>
      </c>
      <c r="G155" s="10" t="s">
        <v>2438</v>
      </c>
      <c r="H155" s="11" t="s">
        <v>28</v>
      </c>
      <c r="I155" s="10">
        <f t="shared" si="1"/>
        <v>-110</v>
      </c>
      <c r="J155" s="16">
        <v>46012.0</v>
      </c>
      <c r="K155" s="16">
        <v>44679.0</v>
      </c>
      <c r="L155" s="11" t="s">
        <v>86</v>
      </c>
      <c r="M155" s="10" t="s">
        <v>2439</v>
      </c>
      <c r="N155" s="10" t="s">
        <v>2440</v>
      </c>
      <c r="O155" s="94" t="s">
        <v>2441</v>
      </c>
      <c r="P155" s="23" t="s">
        <v>2442</v>
      </c>
      <c r="Q155" s="26" t="s">
        <v>1344</v>
      </c>
      <c r="R155" s="26" t="s">
        <v>2443</v>
      </c>
      <c r="S155" s="26" t="s">
        <v>2439</v>
      </c>
      <c r="T155" s="26" t="s">
        <v>2440</v>
      </c>
      <c r="U155" s="26" t="s">
        <v>2444</v>
      </c>
      <c r="V155" s="79" t="s">
        <v>2445</v>
      </c>
      <c r="W155" s="11" t="s">
        <v>2446</v>
      </c>
      <c r="X155" s="11" t="s">
        <v>2447</v>
      </c>
      <c r="Y155" s="11" t="s">
        <v>2448</v>
      </c>
      <c r="Z155" s="11">
        <v>9.13657072E8</v>
      </c>
      <c r="AA155" s="11">
        <v>8.3660801327E10</v>
      </c>
      <c r="AB155" s="11" t="s">
        <v>2449</v>
      </c>
    </row>
    <row r="156">
      <c r="A156" s="13"/>
      <c r="B156" s="13" t="s">
        <v>2450</v>
      </c>
      <c r="C156" s="71" t="s">
        <v>1224</v>
      </c>
      <c r="D156" s="71" t="s">
        <v>1225</v>
      </c>
      <c r="E156" s="70"/>
      <c r="F156" s="70"/>
      <c r="G156" s="10" t="s">
        <v>2451</v>
      </c>
      <c r="H156" s="11" t="s">
        <v>28</v>
      </c>
      <c r="I156" s="10">
        <f t="shared" si="1"/>
        <v>377</v>
      </c>
      <c r="J156" s="16">
        <v>46499.0</v>
      </c>
      <c r="K156" s="16">
        <v>44677.0</v>
      </c>
      <c r="L156" s="11" t="s">
        <v>86</v>
      </c>
      <c r="M156" s="10" t="s">
        <v>2452</v>
      </c>
      <c r="N156" s="10" t="s">
        <v>2453</v>
      </c>
      <c r="O156" s="94" t="s">
        <v>2454</v>
      </c>
      <c r="P156" s="23" t="s">
        <v>2455</v>
      </c>
      <c r="Q156" s="46" t="s">
        <v>781</v>
      </c>
      <c r="R156" s="46" t="s">
        <v>2456</v>
      </c>
      <c r="S156" s="46" t="s">
        <v>2457</v>
      </c>
      <c r="T156" s="99"/>
      <c r="U156" s="99"/>
      <c r="V156" s="100"/>
    </row>
    <row r="157">
      <c r="A157" s="9"/>
      <c r="B157" s="13" t="s">
        <v>2458</v>
      </c>
      <c r="C157" s="70"/>
      <c r="D157" s="70"/>
      <c r="E157" s="70"/>
      <c r="F157" s="70"/>
      <c r="G157" s="10" t="s">
        <v>2459</v>
      </c>
      <c r="H157" s="11" t="s">
        <v>28</v>
      </c>
      <c r="I157" s="10">
        <f t="shared" si="1"/>
        <v>-718</v>
      </c>
      <c r="J157" s="16">
        <v>45404.0</v>
      </c>
      <c r="K157" s="16">
        <v>44673.0</v>
      </c>
      <c r="L157" s="11" t="s">
        <v>29</v>
      </c>
      <c r="M157" s="10" t="s">
        <v>2460</v>
      </c>
      <c r="N157" s="10" t="s">
        <v>2461</v>
      </c>
      <c r="O157" s="94" t="s">
        <v>2462</v>
      </c>
      <c r="P157" s="23" t="s">
        <v>2463</v>
      </c>
      <c r="Q157" s="26" t="s">
        <v>2143</v>
      </c>
      <c r="R157" s="26" t="s">
        <v>2464</v>
      </c>
      <c r="S157" s="26" t="s">
        <v>2465</v>
      </c>
      <c r="T157" s="26" t="s">
        <v>2466</v>
      </c>
      <c r="U157" s="26">
        <v>7.472983582E9</v>
      </c>
      <c r="V157" s="27" t="s">
        <v>2467</v>
      </c>
    </row>
    <row r="158">
      <c r="A158" s="9" t="s">
        <v>2468</v>
      </c>
      <c r="B158" s="9" t="s">
        <v>2469</v>
      </c>
      <c r="C158" s="71" t="s">
        <v>1246</v>
      </c>
      <c r="D158" s="71" t="s">
        <v>1225</v>
      </c>
      <c r="E158" s="70"/>
      <c r="F158" s="70"/>
      <c r="G158" s="10" t="s">
        <v>2470</v>
      </c>
      <c r="H158" s="11" t="s">
        <v>28</v>
      </c>
      <c r="I158" s="10">
        <f t="shared" si="1"/>
        <v>447</v>
      </c>
      <c r="J158" s="16">
        <v>46569.0</v>
      </c>
      <c r="K158" s="16">
        <v>44670.0</v>
      </c>
      <c r="L158" s="11" t="s">
        <v>86</v>
      </c>
      <c r="M158" s="10" t="s">
        <v>2471</v>
      </c>
      <c r="N158" s="10" t="s">
        <v>2472</v>
      </c>
      <c r="O158" s="94" t="s">
        <v>2473</v>
      </c>
      <c r="P158" s="23" t="s">
        <v>2474</v>
      </c>
      <c r="Q158" s="26" t="s">
        <v>340</v>
      </c>
      <c r="R158" s="26" t="s">
        <v>2475</v>
      </c>
      <c r="S158" s="26" t="s">
        <v>2476</v>
      </c>
      <c r="T158" s="26" t="s">
        <v>2477</v>
      </c>
      <c r="U158" s="26">
        <v>3.1225309752E10</v>
      </c>
      <c r="V158" s="27" t="s">
        <v>2478</v>
      </c>
      <c r="W158" s="11" t="s">
        <v>285</v>
      </c>
      <c r="X158" s="11" t="s">
        <v>2479</v>
      </c>
      <c r="Y158" s="11" t="s">
        <v>2480</v>
      </c>
      <c r="AA158" s="11">
        <v>5.66965342E10</v>
      </c>
      <c r="AB158" s="11" t="s">
        <v>2481</v>
      </c>
    </row>
    <row r="159">
      <c r="A159" s="9"/>
      <c r="B159" s="13" t="s">
        <v>2482</v>
      </c>
      <c r="C159" s="70"/>
      <c r="D159" s="70"/>
      <c r="E159" s="70"/>
      <c r="F159" s="70"/>
      <c r="G159" s="10" t="s">
        <v>2483</v>
      </c>
      <c r="H159" s="11" t="s">
        <v>28</v>
      </c>
      <c r="I159" s="10">
        <f t="shared" si="1"/>
        <v>-734</v>
      </c>
      <c r="J159" s="16">
        <v>45388.0</v>
      </c>
      <c r="K159" s="16">
        <v>44657.0</v>
      </c>
      <c r="L159" s="11" t="s">
        <v>29</v>
      </c>
      <c r="M159" s="10" t="s">
        <v>2484</v>
      </c>
      <c r="N159" s="10" t="s">
        <v>2485</v>
      </c>
      <c r="O159" s="94" t="s">
        <v>2486</v>
      </c>
      <c r="P159" s="23" t="s">
        <v>2487</v>
      </c>
      <c r="Q159" s="26" t="s">
        <v>447</v>
      </c>
      <c r="R159" s="26" t="s">
        <v>2488</v>
      </c>
      <c r="S159" s="26" t="s">
        <v>2484</v>
      </c>
      <c r="T159" s="26">
        <v>9.13339226E8</v>
      </c>
      <c r="U159" s="26">
        <v>5.9103134617E10</v>
      </c>
      <c r="V159" s="27" t="s">
        <v>2489</v>
      </c>
    </row>
    <row r="160" ht="20.25" customHeight="1">
      <c r="A160" s="13"/>
      <c r="B160" s="13" t="s">
        <v>2490</v>
      </c>
      <c r="C160" s="71" t="s">
        <v>1224</v>
      </c>
      <c r="D160" s="71" t="s">
        <v>1225</v>
      </c>
      <c r="E160" s="71" t="s">
        <v>1247</v>
      </c>
      <c r="F160" s="71" t="s">
        <v>1247</v>
      </c>
      <c r="G160" s="10" t="s">
        <v>2491</v>
      </c>
      <c r="H160" s="11" t="s">
        <v>69</v>
      </c>
      <c r="I160" s="10">
        <f t="shared" si="1"/>
        <v>16</v>
      </c>
      <c r="J160" s="16">
        <v>46138.0</v>
      </c>
      <c r="K160" s="16">
        <v>44655.0</v>
      </c>
      <c r="L160" s="11" t="s">
        <v>86</v>
      </c>
      <c r="M160" s="11" t="s">
        <v>2492</v>
      </c>
      <c r="N160" s="10" t="s">
        <v>2493</v>
      </c>
      <c r="O160" s="94" t="s">
        <v>2494</v>
      </c>
      <c r="P160" s="15" t="s">
        <v>2495</v>
      </c>
      <c r="Q160" s="26" t="s">
        <v>543</v>
      </c>
      <c r="R160" s="26" t="s">
        <v>2496</v>
      </c>
      <c r="S160" s="26" t="s">
        <v>2497</v>
      </c>
      <c r="T160" s="26">
        <v>9.57078204E8</v>
      </c>
      <c r="U160" s="26">
        <v>7.0770600275E10</v>
      </c>
      <c r="V160" s="52"/>
    </row>
    <row r="161">
      <c r="A161" s="13"/>
      <c r="B161" s="13" t="s">
        <v>2498</v>
      </c>
      <c r="C161" s="70"/>
      <c r="D161" s="70"/>
      <c r="E161" s="70"/>
      <c r="F161" s="70"/>
      <c r="G161" s="10" t="s">
        <v>2499</v>
      </c>
      <c r="H161" s="11" t="s">
        <v>28</v>
      </c>
      <c r="I161" s="10">
        <f t="shared" si="1"/>
        <v>-1108</v>
      </c>
      <c r="J161" s="16">
        <v>45014.0</v>
      </c>
      <c r="K161" s="16">
        <v>44649.0</v>
      </c>
      <c r="L161" s="11" t="s">
        <v>2178</v>
      </c>
      <c r="M161" s="10" t="s">
        <v>2500</v>
      </c>
      <c r="N161" s="10" t="s">
        <v>2501</v>
      </c>
      <c r="O161" s="10" t="s">
        <v>2502</v>
      </c>
      <c r="P161" s="23" t="s">
        <v>2503</v>
      </c>
      <c r="Q161" s="26" t="s">
        <v>204</v>
      </c>
      <c r="R161" s="26" t="s">
        <v>2504</v>
      </c>
      <c r="S161" s="26" t="s">
        <v>2505</v>
      </c>
      <c r="T161" s="26">
        <v>9.8815286E7</v>
      </c>
      <c r="U161" s="26">
        <v>5.9197146083E10</v>
      </c>
      <c r="V161" s="27" t="s">
        <v>2506</v>
      </c>
      <c r="W161" s="11" t="s">
        <v>174</v>
      </c>
      <c r="X161" s="11" t="s">
        <v>1789</v>
      </c>
      <c r="Y161" s="11" t="s">
        <v>2507</v>
      </c>
      <c r="Z161" s="11">
        <v>9.94951549E8</v>
      </c>
      <c r="AB161" s="11" t="s">
        <v>2506</v>
      </c>
    </row>
    <row r="162">
      <c r="A162" s="13"/>
      <c r="B162" s="13" t="s">
        <v>2508</v>
      </c>
      <c r="C162" s="70"/>
      <c r="D162" s="70"/>
      <c r="E162" s="70"/>
      <c r="F162" s="70"/>
      <c r="G162" s="10" t="s">
        <v>2509</v>
      </c>
      <c r="H162" s="11" t="s">
        <v>28</v>
      </c>
      <c r="I162" s="10">
        <f t="shared" si="1"/>
        <v>-1112</v>
      </c>
      <c r="J162" s="16">
        <v>45010.0</v>
      </c>
      <c r="K162" s="16">
        <v>44645.0</v>
      </c>
      <c r="L162" s="11" t="s">
        <v>2178</v>
      </c>
      <c r="M162" s="10" t="s">
        <v>2510</v>
      </c>
      <c r="N162" s="10" t="s">
        <v>2511</v>
      </c>
      <c r="O162" s="10" t="s">
        <v>2512</v>
      </c>
      <c r="P162" s="23"/>
      <c r="Q162" s="26" t="s">
        <v>2513</v>
      </c>
      <c r="R162" s="26" t="s">
        <v>2514</v>
      </c>
      <c r="S162" s="26" t="s">
        <v>2515</v>
      </c>
      <c r="T162" s="26" t="s">
        <v>2511</v>
      </c>
      <c r="U162" s="26">
        <v>2.3251318555E10</v>
      </c>
      <c r="V162" s="27">
        <v>2.3251318555E10</v>
      </c>
    </row>
    <row r="163">
      <c r="A163" s="13"/>
      <c r="B163" s="13" t="s">
        <v>2516</v>
      </c>
      <c r="C163" s="71" t="s">
        <v>1224</v>
      </c>
      <c r="D163" s="71" t="s">
        <v>1225</v>
      </c>
      <c r="E163" s="70"/>
      <c r="F163" s="70"/>
      <c r="G163" s="10" t="s">
        <v>2517</v>
      </c>
      <c r="H163" s="11" t="s">
        <v>28</v>
      </c>
      <c r="I163" s="10">
        <f t="shared" si="1"/>
        <v>319</v>
      </c>
      <c r="J163" s="16">
        <v>46441.0</v>
      </c>
      <c r="K163" s="16">
        <v>44615.0</v>
      </c>
      <c r="L163" s="11" t="s">
        <v>86</v>
      </c>
      <c r="M163" s="10" t="s">
        <v>2518</v>
      </c>
      <c r="N163" s="10" t="s">
        <v>2519</v>
      </c>
      <c r="O163" s="94" t="s">
        <v>2520</v>
      </c>
      <c r="P163" s="23" t="s">
        <v>2521</v>
      </c>
      <c r="Q163" s="26" t="s">
        <v>2522</v>
      </c>
      <c r="R163" s="26" t="s">
        <v>2523</v>
      </c>
      <c r="S163" s="26" t="s">
        <v>2524</v>
      </c>
      <c r="T163" s="26">
        <v>9.12270008E8</v>
      </c>
      <c r="U163" s="26">
        <v>6.9926349924E10</v>
      </c>
      <c r="V163" s="27" t="s">
        <v>2525</v>
      </c>
      <c r="W163" s="11" t="s">
        <v>649</v>
      </c>
      <c r="X163" s="11" t="s">
        <v>2526</v>
      </c>
      <c r="Y163" s="11" t="s">
        <v>2527</v>
      </c>
      <c r="Z163" s="11">
        <v>9.9247E8</v>
      </c>
      <c r="AA163" s="11">
        <v>8.9191599539E10</v>
      </c>
      <c r="AB163" s="11" t="s">
        <v>2528</v>
      </c>
    </row>
    <row r="164">
      <c r="A164" s="13"/>
      <c r="B164" s="13" t="s">
        <v>2529</v>
      </c>
      <c r="C164" s="71" t="s">
        <v>1224</v>
      </c>
      <c r="D164" s="71" t="s">
        <v>1225</v>
      </c>
      <c r="E164" s="70"/>
      <c r="F164" s="70"/>
      <c r="G164" s="10" t="s">
        <v>2530</v>
      </c>
      <c r="H164" s="11" t="s">
        <v>28</v>
      </c>
      <c r="I164" s="10">
        <f t="shared" si="1"/>
        <v>226</v>
      </c>
      <c r="J164" s="12">
        <v>46348.0</v>
      </c>
      <c r="K164" s="16">
        <v>44614.0</v>
      </c>
      <c r="L164" s="11" t="s">
        <v>86</v>
      </c>
      <c r="M164" s="10" t="s">
        <v>2531</v>
      </c>
      <c r="N164" s="10" t="s">
        <v>2532</v>
      </c>
      <c r="O164" s="94" t="s">
        <v>2533</v>
      </c>
      <c r="P164" s="23" t="s">
        <v>2534</v>
      </c>
      <c r="Q164" s="26" t="s">
        <v>1000</v>
      </c>
      <c r="R164" s="26" t="s">
        <v>2535</v>
      </c>
      <c r="S164" s="26" t="s">
        <v>2536</v>
      </c>
      <c r="T164" s="26" t="s">
        <v>2532</v>
      </c>
      <c r="U164" s="26">
        <v>4.4604116968E10</v>
      </c>
      <c r="V164" s="27" t="s">
        <v>2537</v>
      </c>
    </row>
    <row r="165">
      <c r="A165" s="13"/>
      <c r="B165" s="13" t="s">
        <v>2538</v>
      </c>
      <c r="C165" s="85" t="s">
        <v>1235</v>
      </c>
      <c r="D165" s="71" t="s">
        <v>1225</v>
      </c>
      <c r="E165" s="85"/>
      <c r="F165" s="85" t="s">
        <v>1247</v>
      </c>
      <c r="G165" s="20" t="s">
        <v>2539</v>
      </c>
      <c r="H165" s="11" t="s">
        <v>28</v>
      </c>
      <c r="I165" s="10">
        <f t="shared" si="1"/>
        <v>303</v>
      </c>
      <c r="J165" s="16">
        <v>46425.0</v>
      </c>
      <c r="K165" s="16">
        <v>44599.0</v>
      </c>
      <c r="L165" s="11" t="s">
        <v>86</v>
      </c>
      <c r="M165" s="10" t="s">
        <v>2540</v>
      </c>
      <c r="N165" s="10" t="s">
        <v>2541</v>
      </c>
      <c r="O165" s="94" t="s">
        <v>2542</v>
      </c>
      <c r="P165" s="15" t="s">
        <v>2543</v>
      </c>
      <c r="Q165" s="26" t="s">
        <v>447</v>
      </c>
      <c r="R165" s="26" t="s">
        <v>2544</v>
      </c>
      <c r="S165" s="26" t="s">
        <v>2545</v>
      </c>
      <c r="T165" s="26">
        <v>9.15275065E8</v>
      </c>
      <c r="U165" s="26">
        <v>7.8384001729E10</v>
      </c>
      <c r="V165" s="27" t="s">
        <v>2546</v>
      </c>
      <c r="W165" s="11" t="s">
        <v>340</v>
      </c>
      <c r="X165" s="11" t="s">
        <v>2547</v>
      </c>
      <c r="Y165" s="11" t="s">
        <v>2548</v>
      </c>
      <c r="AA165" s="11">
        <v>1.9005524549E10</v>
      </c>
      <c r="AB165" s="11" t="s">
        <v>2549</v>
      </c>
    </row>
    <row r="166">
      <c r="A166" s="13"/>
      <c r="B166" s="9" t="s">
        <v>2550</v>
      </c>
      <c r="C166" s="71" t="s">
        <v>1300</v>
      </c>
      <c r="D166" s="71" t="s">
        <v>1225</v>
      </c>
      <c r="E166" s="71"/>
      <c r="F166" s="70"/>
      <c r="G166" s="11" t="s">
        <v>2551</v>
      </c>
      <c r="H166" s="11" t="s">
        <v>28</v>
      </c>
      <c r="I166" s="10">
        <f t="shared" si="1"/>
        <v>-95</v>
      </c>
      <c r="J166" s="16">
        <v>46027.0</v>
      </c>
      <c r="K166" s="16">
        <v>44594.0</v>
      </c>
      <c r="L166" s="11" t="s">
        <v>86</v>
      </c>
      <c r="M166" s="11" t="s">
        <v>2334</v>
      </c>
      <c r="N166" s="11" t="s">
        <v>2552</v>
      </c>
      <c r="O166" s="58" t="s">
        <v>2336</v>
      </c>
      <c r="P166" s="15" t="s">
        <v>2553</v>
      </c>
      <c r="Q166" s="26" t="s">
        <v>376</v>
      </c>
      <c r="R166" s="26" t="s">
        <v>2338</v>
      </c>
      <c r="S166" s="26" t="s">
        <v>2554</v>
      </c>
      <c r="T166" s="26">
        <v>9.51984978E8</v>
      </c>
      <c r="U166" s="26">
        <v>6.403422894E9</v>
      </c>
      <c r="V166" s="27" t="s">
        <v>2555</v>
      </c>
    </row>
    <row r="167">
      <c r="A167" s="9" t="s">
        <v>2556</v>
      </c>
      <c r="B167" s="13" t="s">
        <v>2557</v>
      </c>
      <c r="C167" s="71" t="s">
        <v>1246</v>
      </c>
      <c r="D167" s="71" t="s">
        <v>1225</v>
      </c>
      <c r="E167" s="70"/>
      <c r="F167" s="71" t="s">
        <v>1247</v>
      </c>
      <c r="G167" s="10" t="s">
        <v>2558</v>
      </c>
      <c r="H167" s="11" t="s">
        <v>28</v>
      </c>
      <c r="I167" s="10">
        <f t="shared" si="1"/>
        <v>282</v>
      </c>
      <c r="J167" s="16">
        <v>46404.0</v>
      </c>
      <c r="K167" s="16">
        <v>44578.0</v>
      </c>
      <c r="L167" s="11" t="s">
        <v>86</v>
      </c>
      <c r="M167" s="11" t="s">
        <v>2559</v>
      </c>
      <c r="N167" s="10" t="s">
        <v>2560</v>
      </c>
      <c r="O167" s="94" t="s">
        <v>2561</v>
      </c>
      <c r="P167" s="23" t="s">
        <v>2562</v>
      </c>
      <c r="Q167" s="26" t="s">
        <v>947</v>
      </c>
      <c r="R167" s="26" t="s">
        <v>2563</v>
      </c>
      <c r="S167" s="26" t="s">
        <v>2564</v>
      </c>
      <c r="T167" s="26"/>
      <c r="U167" s="26"/>
      <c r="V167" s="27"/>
      <c r="W167" s="11" t="s">
        <v>2565</v>
      </c>
      <c r="X167" s="11" t="s">
        <v>242</v>
      </c>
      <c r="Y167" s="11" t="s">
        <v>2566</v>
      </c>
      <c r="Z167" s="11">
        <v>9.95420149E8</v>
      </c>
      <c r="AA167" s="11">
        <v>3.5926739923E10</v>
      </c>
      <c r="AB167" s="11" t="s">
        <v>2567</v>
      </c>
    </row>
    <row r="168">
      <c r="A168" s="9" t="s">
        <v>2568</v>
      </c>
      <c r="B168" s="13" t="s">
        <v>2569</v>
      </c>
      <c r="C168" s="85"/>
      <c r="D168" s="85"/>
      <c r="E168" s="85"/>
      <c r="F168" s="85"/>
      <c r="G168" s="20" t="s">
        <v>2570</v>
      </c>
      <c r="H168" s="11" t="s">
        <v>28</v>
      </c>
      <c r="I168" s="10">
        <f t="shared" si="1"/>
        <v>-864</v>
      </c>
      <c r="J168" s="12">
        <v>45258.0</v>
      </c>
      <c r="K168" s="12">
        <v>44528.0</v>
      </c>
      <c r="L168" s="11" t="s">
        <v>2178</v>
      </c>
      <c r="M168" s="10" t="s">
        <v>2571</v>
      </c>
      <c r="N168" s="10" t="s">
        <v>2572</v>
      </c>
      <c r="O168" s="11">
        <v>8.3932347019E10</v>
      </c>
      <c r="P168" s="23" t="s">
        <v>2573</v>
      </c>
      <c r="Q168" s="26" t="s">
        <v>285</v>
      </c>
      <c r="R168" s="26" t="s">
        <v>1606</v>
      </c>
      <c r="S168" s="26" t="s">
        <v>2571</v>
      </c>
      <c r="T168" s="26">
        <v>9.94280577E8</v>
      </c>
      <c r="U168" s="26">
        <v>2.8106472E9</v>
      </c>
      <c r="V168" s="27" t="s">
        <v>2574</v>
      </c>
      <c r="W168" s="11" t="s">
        <v>2575</v>
      </c>
      <c r="X168" s="11" t="s">
        <v>2576</v>
      </c>
      <c r="Y168" s="11" t="s">
        <v>2577</v>
      </c>
      <c r="Z168" s="11" t="s">
        <v>391</v>
      </c>
      <c r="AA168" s="11">
        <v>6.0615133E7</v>
      </c>
      <c r="AB168" s="11" t="s">
        <v>2578</v>
      </c>
    </row>
    <row r="169">
      <c r="A169" s="13"/>
      <c r="B169" s="13" t="s">
        <v>2579</v>
      </c>
      <c r="C169" s="85" t="s">
        <v>1224</v>
      </c>
      <c r="D169" s="71" t="s">
        <v>1225</v>
      </c>
      <c r="E169" s="85" t="s">
        <v>1247</v>
      </c>
      <c r="F169" s="85" t="s">
        <v>1247</v>
      </c>
      <c r="G169" s="20" t="s">
        <v>2580</v>
      </c>
      <c r="H169" s="11" t="s">
        <v>69</v>
      </c>
      <c r="I169" s="10">
        <f t="shared" si="1"/>
        <v>217</v>
      </c>
      <c r="J169" s="12">
        <v>46339.0</v>
      </c>
      <c r="K169" s="12">
        <v>44513.0</v>
      </c>
      <c r="L169" s="11" t="s">
        <v>86</v>
      </c>
      <c r="M169" s="10" t="s">
        <v>2581</v>
      </c>
      <c r="N169" s="11">
        <v>3322106.0</v>
      </c>
      <c r="O169" s="94" t="s">
        <v>2582</v>
      </c>
      <c r="P169" s="15" t="s">
        <v>2583</v>
      </c>
      <c r="Q169" s="26" t="s">
        <v>398</v>
      </c>
      <c r="R169" s="26" t="s">
        <v>2584</v>
      </c>
      <c r="S169" s="26" t="s">
        <v>2585</v>
      </c>
      <c r="T169" s="26" t="s">
        <v>2586</v>
      </c>
      <c r="U169" s="26"/>
      <c r="V169" s="27"/>
      <c r="W169" s="26" t="s">
        <v>2587</v>
      </c>
      <c r="X169" s="26" t="s">
        <v>2588</v>
      </c>
      <c r="Y169" s="26" t="s">
        <v>2589</v>
      </c>
      <c r="Z169" s="26" t="s">
        <v>391</v>
      </c>
      <c r="AA169" s="26">
        <v>1.6256420074E10</v>
      </c>
      <c r="AB169" s="26" t="s">
        <v>2590</v>
      </c>
    </row>
    <row r="170">
      <c r="A170" s="9"/>
      <c r="B170" s="13" t="s">
        <v>2591</v>
      </c>
      <c r="C170" s="70"/>
      <c r="D170" s="70"/>
      <c r="E170" s="70"/>
      <c r="F170" s="71" t="s">
        <v>1247</v>
      </c>
      <c r="G170" s="10" t="s">
        <v>2592</v>
      </c>
      <c r="H170" s="11" t="s">
        <v>28</v>
      </c>
      <c r="I170" s="10">
        <f t="shared" si="1"/>
        <v>-583</v>
      </c>
      <c r="J170" s="16">
        <v>45539.0</v>
      </c>
      <c r="K170" s="16">
        <v>44504.0</v>
      </c>
      <c r="L170" s="11" t="s">
        <v>29</v>
      </c>
      <c r="M170" s="10" t="s">
        <v>2593</v>
      </c>
      <c r="N170" s="10" t="s">
        <v>2594</v>
      </c>
      <c r="O170" s="94" t="s">
        <v>2595</v>
      </c>
      <c r="P170" s="23" t="s">
        <v>2596</v>
      </c>
      <c r="Q170" s="26" t="s">
        <v>147</v>
      </c>
      <c r="R170" s="26" t="s">
        <v>2597</v>
      </c>
      <c r="S170" s="26" t="s">
        <v>2598</v>
      </c>
      <c r="T170" s="26">
        <v>9.15143412E8</v>
      </c>
      <c r="U170" s="26">
        <v>1.7112661602E10</v>
      </c>
      <c r="V170" s="27" t="s">
        <v>2599</v>
      </c>
      <c r="W170" s="11" t="s">
        <v>1253</v>
      </c>
      <c r="X170" s="11" t="s">
        <v>2600</v>
      </c>
      <c r="Y170" s="11" t="s">
        <v>2601</v>
      </c>
      <c r="Z170" s="11">
        <v>3.81693521339E11</v>
      </c>
      <c r="AA170" s="11" t="s">
        <v>391</v>
      </c>
      <c r="AB170" s="11" t="s">
        <v>2602</v>
      </c>
    </row>
    <row r="171">
      <c r="A171" s="13"/>
      <c r="B171" s="13" t="s">
        <v>2603</v>
      </c>
      <c r="C171" s="70"/>
      <c r="D171" s="70"/>
      <c r="E171" s="70"/>
      <c r="F171" s="70"/>
      <c r="G171" s="10" t="s">
        <v>2604</v>
      </c>
      <c r="H171" s="11" t="s">
        <v>28</v>
      </c>
      <c r="I171" s="10">
        <f t="shared" si="1"/>
        <v>-445</v>
      </c>
      <c r="J171" s="16">
        <v>45677.0</v>
      </c>
      <c r="K171" s="12">
        <v>44494.0</v>
      </c>
      <c r="L171" s="11" t="s">
        <v>29</v>
      </c>
      <c r="M171" s="10" t="s">
        <v>2605</v>
      </c>
      <c r="N171" s="10" t="s">
        <v>2606</v>
      </c>
      <c r="O171" s="94" t="s">
        <v>2607</v>
      </c>
      <c r="P171" s="23" t="s">
        <v>2608</v>
      </c>
      <c r="Q171" s="26" t="s">
        <v>1457</v>
      </c>
      <c r="R171" s="26" t="s">
        <v>2609</v>
      </c>
      <c r="S171" s="26" t="s">
        <v>2610</v>
      </c>
      <c r="T171" s="26">
        <v>9.8342659E7</v>
      </c>
      <c r="U171" s="26">
        <v>9.142455085E9</v>
      </c>
      <c r="V171" s="52">
        <v>20586.0</v>
      </c>
      <c r="Y171" s="11" t="s">
        <v>2611</v>
      </c>
    </row>
    <row r="172">
      <c r="A172" s="13"/>
      <c r="B172" s="13" t="s">
        <v>613</v>
      </c>
      <c r="C172" s="85" t="s">
        <v>1246</v>
      </c>
      <c r="D172" s="71" t="s">
        <v>1225</v>
      </c>
      <c r="E172" s="85" t="s">
        <v>1247</v>
      </c>
      <c r="F172" s="85" t="s">
        <v>1247</v>
      </c>
      <c r="G172" s="20" t="s">
        <v>2612</v>
      </c>
      <c r="H172" s="11" t="s">
        <v>28</v>
      </c>
      <c r="I172" s="10">
        <f t="shared" si="1"/>
        <v>303</v>
      </c>
      <c r="J172" s="16">
        <v>46425.0</v>
      </c>
      <c r="K172" s="16">
        <v>44476.0</v>
      </c>
      <c r="L172" s="11" t="s">
        <v>86</v>
      </c>
      <c r="M172" s="10" t="s">
        <v>2613</v>
      </c>
      <c r="N172" s="10" t="s">
        <v>2614</v>
      </c>
      <c r="O172" s="94" t="s">
        <v>2615</v>
      </c>
      <c r="P172" s="23" t="s">
        <v>2616</v>
      </c>
      <c r="Q172" s="26" t="s">
        <v>617</v>
      </c>
      <c r="R172" s="26" t="s">
        <v>618</v>
      </c>
      <c r="S172" s="26" t="s">
        <v>2613</v>
      </c>
      <c r="T172" s="78" t="str">
        <f>+385 1 209 4343</f>
        <v>#ERROR!</v>
      </c>
      <c r="U172" s="26">
        <v>8.8964030315E10</v>
      </c>
      <c r="V172" s="27" t="s">
        <v>2617</v>
      </c>
    </row>
    <row r="173">
      <c r="A173" s="9" t="s">
        <v>2618</v>
      </c>
      <c r="B173" s="13" t="s">
        <v>2619</v>
      </c>
      <c r="C173" s="71" t="s">
        <v>1246</v>
      </c>
      <c r="D173" s="71" t="s">
        <v>1225</v>
      </c>
      <c r="E173" s="70"/>
      <c r="F173" s="71" t="s">
        <v>1247</v>
      </c>
      <c r="G173" s="10" t="s">
        <v>2620</v>
      </c>
      <c r="H173" s="11" t="s">
        <v>28</v>
      </c>
      <c r="I173" s="10">
        <f t="shared" si="1"/>
        <v>157</v>
      </c>
      <c r="J173" s="16">
        <v>46279.0</v>
      </c>
      <c r="K173" s="16">
        <v>44453.0</v>
      </c>
      <c r="L173" s="11" t="s">
        <v>86</v>
      </c>
      <c r="M173" s="10" t="s">
        <v>2621</v>
      </c>
      <c r="N173" s="10" t="s">
        <v>2622</v>
      </c>
      <c r="O173" s="94" t="s">
        <v>2623</v>
      </c>
      <c r="P173" s="23" t="s">
        <v>2624</v>
      </c>
      <c r="Q173" s="26" t="s">
        <v>988</v>
      </c>
      <c r="R173" s="26" t="s">
        <v>2625</v>
      </c>
      <c r="S173" s="26" t="s">
        <v>2626</v>
      </c>
      <c r="T173" s="26">
        <v>9.1789675E8</v>
      </c>
      <c r="U173" s="26">
        <v>5.9964152545E10</v>
      </c>
      <c r="V173" s="27" t="s">
        <v>2627</v>
      </c>
      <c r="W173" s="11" t="s">
        <v>2628</v>
      </c>
      <c r="X173" s="11" t="s">
        <v>2629</v>
      </c>
      <c r="Y173" s="11" t="s">
        <v>2630</v>
      </c>
    </row>
    <row r="174">
      <c r="A174" s="13"/>
      <c r="B174" s="13" t="s">
        <v>2631</v>
      </c>
      <c r="C174" s="70"/>
      <c r="D174" s="70"/>
      <c r="E174" s="70"/>
      <c r="F174" s="70"/>
      <c r="G174" s="10" t="s">
        <v>2632</v>
      </c>
      <c r="H174" s="11" t="s">
        <v>28</v>
      </c>
      <c r="I174" s="10">
        <f t="shared" si="1"/>
        <v>-299</v>
      </c>
      <c r="J174" s="16">
        <v>45823.0</v>
      </c>
      <c r="K174" s="16">
        <v>44362.0</v>
      </c>
      <c r="L174" s="11" t="s">
        <v>29</v>
      </c>
      <c r="M174" s="10" t="s">
        <v>2633</v>
      </c>
      <c r="N174" s="10" t="s">
        <v>2634</v>
      </c>
      <c r="O174" s="94" t="s">
        <v>2635</v>
      </c>
      <c r="P174" s="23" t="s">
        <v>2636</v>
      </c>
      <c r="Q174" s="26" t="s">
        <v>2084</v>
      </c>
      <c r="R174" s="26" t="s">
        <v>2637</v>
      </c>
      <c r="S174" s="26" t="s">
        <v>2638</v>
      </c>
      <c r="T174" s="26" t="s">
        <v>2639</v>
      </c>
      <c r="U174" s="26">
        <v>6.6136790881E10</v>
      </c>
      <c r="V174" s="27" t="s">
        <v>2640</v>
      </c>
      <c r="W174" s="11" t="s">
        <v>649</v>
      </c>
      <c r="X174" s="11" t="s">
        <v>2641</v>
      </c>
      <c r="Y174" s="11" t="s">
        <v>2642</v>
      </c>
    </row>
    <row r="175" ht="15.75" customHeight="1">
      <c r="A175" s="13"/>
      <c r="B175" s="9" t="s">
        <v>2643</v>
      </c>
      <c r="C175" s="71" t="s">
        <v>1300</v>
      </c>
      <c r="D175" s="71" t="s">
        <v>1225</v>
      </c>
      <c r="E175" s="70"/>
      <c r="F175" s="70"/>
      <c r="G175" s="10" t="s">
        <v>2644</v>
      </c>
      <c r="H175" s="11" t="s">
        <v>28</v>
      </c>
      <c r="I175" s="10">
        <f t="shared" si="1"/>
        <v>421</v>
      </c>
      <c r="J175" s="16">
        <v>46543.0</v>
      </c>
      <c r="K175" s="16">
        <v>44352.0</v>
      </c>
      <c r="L175" s="11" t="s">
        <v>86</v>
      </c>
      <c r="M175" s="10" t="s">
        <v>2645</v>
      </c>
      <c r="N175" s="10" t="s">
        <v>2646</v>
      </c>
      <c r="O175" s="94" t="s">
        <v>2647</v>
      </c>
      <c r="P175" s="23" t="s">
        <v>2648</v>
      </c>
      <c r="Q175" s="26" t="s">
        <v>2649</v>
      </c>
      <c r="R175" s="26" t="s">
        <v>2650</v>
      </c>
      <c r="S175" s="26" t="s">
        <v>2651</v>
      </c>
      <c r="T175" s="26">
        <v>9.14250481E8</v>
      </c>
      <c r="U175" s="26">
        <v>4.78296209E8</v>
      </c>
      <c r="V175" s="27" t="s">
        <v>2652</v>
      </c>
    </row>
    <row r="176">
      <c r="A176" s="13"/>
      <c r="B176" s="13" t="s">
        <v>2653</v>
      </c>
      <c r="C176" s="70"/>
      <c r="D176" s="70"/>
      <c r="E176" s="70"/>
      <c r="F176" s="70"/>
      <c r="G176" s="10" t="s">
        <v>2654</v>
      </c>
      <c r="H176" s="11" t="s">
        <v>28</v>
      </c>
      <c r="I176" s="10">
        <f t="shared" si="1"/>
        <v>-325</v>
      </c>
      <c r="J176" s="16">
        <v>45797.0</v>
      </c>
      <c r="K176" s="16">
        <v>44341.0</v>
      </c>
      <c r="L176" s="11" t="s">
        <v>29</v>
      </c>
      <c r="M176" s="10" t="s">
        <v>2655</v>
      </c>
      <c r="N176" s="10" t="s">
        <v>2656</v>
      </c>
      <c r="O176" s="94" t="s">
        <v>2657</v>
      </c>
      <c r="P176" s="23" t="s">
        <v>2658</v>
      </c>
      <c r="Q176" s="26" t="s">
        <v>2659</v>
      </c>
      <c r="R176" s="26" t="s">
        <v>2660</v>
      </c>
      <c r="S176" s="26" t="s">
        <v>2661</v>
      </c>
      <c r="T176" s="78"/>
      <c r="U176" s="26">
        <v>4.3212762395E10</v>
      </c>
      <c r="V176" s="27" t="s">
        <v>2662</v>
      </c>
      <c r="W176" s="11" t="s">
        <v>1046</v>
      </c>
      <c r="X176" s="11" t="s">
        <v>2663</v>
      </c>
      <c r="Y176" s="11" t="s">
        <v>2664</v>
      </c>
    </row>
    <row r="177">
      <c r="A177" s="13"/>
      <c r="B177" s="13" t="s">
        <v>2665</v>
      </c>
      <c r="C177" s="70"/>
      <c r="D177" s="70"/>
      <c r="E177" s="70"/>
      <c r="F177" s="70"/>
      <c r="G177" s="10" t="s">
        <v>2666</v>
      </c>
      <c r="H177" s="11" t="s">
        <v>28</v>
      </c>
      <c r="I177" s="10">
        <f t="shared" si="1"/>
        <v>-356</v>
      </c>
      <c r="J177" s="16">
        <v>45766.0</v>
      </c>
      <c r="K177" s="16">
        <v>44295.0</v>
      </c>
      <c r="L177" s="11" t="s">
        <v>29</v>
      </c>
      <c r="M177" s="10" t="s">
        <v>2667</v>
      </c>
      <c r="N177" s="10" t="s">
        <v>2668</v>
      </c>
      <c r="O177" s="94" t="s">
        <v>2669</v>
      </c>
      <c r="P177" s="15" t="s">
        <v>2670</v>
      </c>
      <c r="Q177" s="26" t="s">
        <v>2671</v>
      </c>
      <c r="R177" s="26" t="s">
        <v>2672</v>
      </c>
      <c r="S177" s="26" t="s">
        <v>2673</v>
      </c>
      <c r="T177" s="78"/>
      <c r="U177" s="26">
        <v>8.306407108E10</v>
      </c>
      <c r="V177" s="27" t="s">
        <v>2674</v>
      </c>
      <c r="W177" s="11" t="s">
        <v>376</v>
      </c>
      <c r="X177" s="11" t="s">
        <v>2675</v>
      </c>
      <c r="Y177" s="11" t="s">
        <v>2676</v>
      </c>
    </row>
    <row r="178">
      <c r="A178" s="9" t="s">
        <v>2677</v>
      </c>
      <c r="B178" s="13" t="s">
        <v>2678</v>
      </c>
      <c r="C178" s="71" t="s">
        <v>1246</v>
      </c>
      <c r="D178" s="71" t="s">
        <v>1225</v>
      </c>
      <c r="E178" s="70"/>
      <c r="F178" s="71" t="s">
        <v>1247</v>
      </c>
      <c r="G178" s="10" t="s">
        <v>2679</v>
      </c>
      <c r="H178" s="11" t="s">
        <v>28</v>
      </c>
      <c r="I178" s="10">
        <f t="shared" si="1"/>
        <v>515</v>
      </c>
      <c r="J178" s="16">
        <v>46637.0</v>
      </c>
      <c r="K178" s="16">
        <v>44279.0</v>
      </c>
      <c r="L178" s="11" t="s">
        <v>86</v>
      </c>
      <c r="M178" s="10" t="s">
        <v>2680</v>
      </c>
      <c r="N178" s="10" t="s">
        <v>2681</v>
      </c>
      <c r="O178" s="94" t="s">
        <v>2682</v>
      </c>
      <c r="P178" s="23" t="s">
        <v>2683</v>
      </c>
      <c r="Q178" s="26" t="s">
        <v>2372</v>
      </c>
      <c r="R178" s="26" t="s">
        <v>2684</v>
      </c>
      <c r="S178" s="26" t="s">
        <v>2685</v>
      </c>
      <c r="T178" s="26">
        <v>9.17962904E8</v>
      </c>
      <c r="U178" s="26">
        <v>7.3407741336E10</v>
      </c>
      <c r="V178" s="27" t="s">
        <v>2686</v>
      </c>
    </row>
    <row r="179">
      <c r="A179" s="13"/>
      <c r="B179" s="13" t="s">
        <v>2687</v>
      </c>
      <c r="C179" s="70"/>
      <c r="D179" s="70"/>
      <c r="E179" s="70"/>
      <c r="F179" s="70"/>
      <c r="G179" s="10" t="s">
        <v>2688</v>
      </c>
      <c r="H179" s="11" t="s">
        <v>28</v>
      </c>
      <c r="I179" s="10">
        <f t="shared" si="1"/>
        <v>-1115</v>
      </c>
      <c r="J179" s="16">
        <v>45007.0</v>
      </c>
      <c r="K179" s="16">
        <v>44277.0</v>
      </c>
      <c r="L179" s="11" t="s">
        <v>2178</v>
      </c>
      <c r="M179" s="10" t="s">
        <v>2689</v>
      </c>
      <c r="N179" s="10" t="s">
        <v>2690</v>
      </c>
      <c r="O179" s="10" t="s">
        <v>2691</v>
      </c>
      <c r="P179" s="23" t="s">
        <v>2692</v>
      </c>
      <c r="Q179" s="26" t="s">
        <v>825</v>
      </c>
      <c r="R179" s="26" t="s">
        <v>2693</v>
      </c>
      <c r="S179" s="26" t="s">
        <v>2694</v>
      </c>
      <c r="T179" s="26">
        <v>9.8429018E7</v>
      </c>
      <c r="U179" s="26">
        <v>8.551536955E9</v>
      </c>
      <c r="V179" s="27" t="s">
        <v>2695</v>
      </c>
    </row>
    <row r="180">
      <c r="A180" s="9"/>
      <c r="B180" s="13" t="s">
        <v>2696</v>
      </c>
      <c r="C180" s="70"/>
      <c r="D180" s="70"/>
      <c r="E180" s="70"/>
      <c r="F180" s="70"/>
      <c r="G180" s="10" t="s">
        <v>2697</v>
      </c>
      <c r="H180" s="11" t="s">
        <v>28</v>
      </c>
      <c r="I180" s="10">
        <f t="shared" si="1"/>
        <v>-666</v>
      </c>
      <c r="J180" s="16">
        <v>45456.0</v>
      </c>
      <c r="K180" s="16">
        <v>44276.0</v>
      </c>
      <c r="L180" s="11" t="s">
        <v>29</v>
      </c>
      <c r="M180" s="10" t="s">
        <v>2698</v>
      </c>
      <c r="N180" s="10" t="s">
        <v>2699</v>
      </c>
      <c r="O180" s="94" t="s">
        <v>2700</v>
      </c>
      <c r="P180" s="23" t="s">
        <v>2701</v>
      </c>
      <c r="Q180" s="26" t="s">
        <v>1262</v>
      </c>
      <c r="R180" s="26" t="s">
        <v>2702</v>
      </c>
      <c r="S180" s="26" t="s">
        <v>2698</v>
      </c>
      <c r="T180" s="26">
        <v>9.81630645E8</v>
      </c>
      <c r="U180" s="26">
        <v>4.3709147801E10</v>
      </c>
      <c r="V180" s="27" t="s">
        <v>2703</v>
      </c>
      <c r="AI180" s="34"/>
    </row>
    <row r="181">
      <c r="A181" s="13"/>
      <c r="B181" s="13" t="s">
        <v>2704</v>
      </c>
      <c r="C181" s="70"/>
      <c r="D181" s="70"/>
      <c r="E181" s="70"/>
      <c r="F181" s="70"/>
      <c r="G181" s="10" t="s">
        <v>2705</v>
      </c>
      <c r="H181" s="11" t="s">
        <v>28</v>
      </c>
      <c r="I181" s="10">
        <f t="shared" si="1"/>
        <v>-1140</v>
      </c>
      <c r="J181" s="16">
        <v>44982.0</v>
      </c>
      <c r="K181" s="16">
        <v>44252.0</v>
      </c>
      <c r="L181" s="11" t="s">
        <v>2178</v>
      </c>
      <c r="M181" s="10" t="s">
        <v>2706</v>
      </c>
      <c r="N181" s="10" t="s">
        <v>2707</v>
      </c>
      <c r="O181" s="10" t="s">
        <v>2708</v>
      </c>
      <c r="P181" s="23" t="s">
        <v>2709</v>
      </c>
      <c r="Q181" s="26" t="s">
        <v>376</v>
      </c>
      <c r="R181" s="26" t="s">
        <v>2710</v>
      </c>
      <c r="S181" s="26" t="s">
        <v>2711</v>
      </c>
      <c r="T181" s="26">
        <v>9.15303104E8</v>
      </c>
      <c r="U181" s="26">
        <v>997.0</v>
      </c>
      <c r="V181" s="27" t="s">
        <v>2712</v>
      </c>
    </row>
    <row r="182">
      <c r="A182" s="13"/>
      <c r="B182" s="13" t="s">
        <v>2713</v>
      </c>
      <c r="C182" s="85"/>
      <c r="D182" s="85"/>
      <c r="E182" s="85"/>
      <c r="F182" s="85"/>
      <c r="G182" s="20" t="s">
        <v>2714</v>
      </c>
      <c r="H182" s="11" t="s">
        <v>28</v>
      </c>
      <c r="I182" s="10">
        <f t="shared" si="1"/>
        <v>-1141</v>
      </c>
      <c r="J182" s="16">
        <v>44981.0</v>
      </c>
      <c r="K182" s="16">
        <v>44251.0</v>
      </c>
      <c r="L182" s="11" t="s">
        <v>2178</v>
      </c>
      <c r="M182" s="10" t="s">
        <v>2715</v>
      </c>
      <c r="N182" s="10" t="s">
        <v>2716</v>
      </c>
      <c r="O182" s="10" t="s">
        <v>2717</v>
      </c>
      <c r="P182" s="23" t="s">
        <v>2718</v>
      </c>
      <c r="Q182" s="26" t="s">
        <v>340</v>
      </c>
      <c r="R182" s="26" t="s">
        <v>2719</v>
      </c>
      <c r="S182" s="26" t="s">
        <v>2715</v>
      </c>
      <c r="T182" s="26">
        <v>9.96642248E8</v>
      </c>
      <c r="U182" s="26">
        <v>6.34686138E10</v>
      </c>
      <c r="V182" s="27" t="s">
        <v>2720</v>
      </c>
      <c r="W182" s="11" t="s">
        <v>2721</v>
      </c>
      <c r="X182" s="11" t="s">
        <v>2722</v>
      </c>
      <c r="Y182" s="11" t="s">
        <v>2723</v>
      </c>
      <c r="Z182" s="11">
        <v>9.21946937E8</v>
      </c>
      <c r="AA182" s="11">
        <v>2.6481897165E10</v>
      </c>
      <c r="AB182" s="11" t="s">
        <v>2724</v>
      </c>
    </row>
    <row r="183">
      <c r="A183" s="13"/>
      <c r="B183" s="13" t="s">
        <v>2725</v>
      </c>
      <c r="C183" s="71" t="s">
        <v>1235</v>
      </c>
      <c r="D183" s="71" t="s">
        <v>1225</v>
      </c>
      <c r="E183" s="70"/>
      <c r="F183" s="71" t="s">
        <v>1247</v>
      </c>
      <c r="G183" s="10" t="s">
        <v>2726</v>
      </c>
      <c r="H183" s="11" t="s">
        <v>28</v>
      </c>
      <c r="I183" s="10">
        <f t="shared" si="1"/>
        <v>628</v>
      </c>
      <c r="J183" s="16">
        <v>46750.0</v>
      </c>
      <c r="K183" s="16">
        <v>44241.0</v>
      </c>
      <c r="L183" s="11" t="s">
        <v>86</v>
      </c>
      <c r="M183" s="10" t="s">
        <v>2727</v>
      </c>
      <c r="N183" s="10" t="s">
        <v>2728</v>
      </c>
      <c r="O183" s="94" t="s">
        <v>2729</v>
      </c>
      <c r="P183" s="23" t="s">
        <v>2730</v>
      </c>
      <c r="Q183" s="26" t="s">
        <v>2731</v>
      </c>
      <c r="R183" s="26" t="s">
        <v>2732</v>
      </c>
      <c r="S183" s="26" t="s">
        <v>2727</v>
      </c>
      <c r="T183" s="26">
        <v>9.8210326E7</v>
      </c>
      <c r="U183" s="26">
        <v>2.3575652778E10</v>
      </c>
      <c r="V183" s="27" t="s">
        <v>2733</v>
      </c>
    </row>
    <row r="184">
      <c r="A184" s="11" t="s">
        <v>2734</v>
      </c>
      <c r="B184" s="13" t="s">
        <v>1515</v>
      </c>
      <c r="C184" s="71" t="s">
        <v>1235</v>
      </c>
      <c r="D184" s="71" t="s">
        <v>1225</v>
      </c>
      <c r="E184" s="70"/>
      <c r="F184" s="71" t="s">
        <v>1247</v>
      </c>
      <c r="G184" s="10" t="s">
        <v>2735</v>
      </c>
      <c r="H184" s="11" t="s">
        <v>69</v>
      </c>
      <c r="I184" s="10">
        <f t="shared" si="1"/>
        <v>133</v>
      </c>
      <c r="J184" s="12">
        <v>46255.0</v>
      </c>
      <c r="K184" s="12">
        <v>44152.0</v>
      </c>
      <c r="L184" s="11" t="s">
        <v>86</v>
      </c>
      <c r="M184" s="10" t="s">
        <v>2736</v>
      </c>
      <c r="N184" s="10" t="s">
        <v>2737</v>
      </c>
      <c r="O184" s="94" t="s">
        <v>1519</v>
      </c>
      <c r="P184" s="23" t="s">
        <v>2738</v>
      </c>
      <c r="Q184" s="26" t="s">
        <v>2280</v>
      </c>
      <c r="R184" s="26" t="s">
        <v>2739</v>
      </c>
      <c r="S184" s="26" t="s">
        <v>2740</v>
      </c>
      <c r="T184" s="26"/>
      <c r="U184" s="26"/>
      <c r="V184" s="79"/>
    </row>
    <row r="185">
      <c r="A185" s="13"/>
      <c r="B185" s="13" t="s">
        <v>2741</v>
      </c>
      <c r="C185" s="71" t="s">
        <v>1484</v>
      </c>
      <c r="D185" s="71" t="s">
        <v>1225</v>
      </c>
      <c r="E185" s="70"/>
      <c r="F185" s="71" t="s">
        <v>1247</v>
      </c>
      <c r="G185" s="10" t="s">
        <v>2742</v>
      </c>
      <c r="H185" s="11" t="s">
        <v>28</v>
      </c>
      <c r="I185" s="10">
        <f t="shared" si="1"/>
        <v>522</v>
      </c>
      <c r="J185" s="16">
        <v>46644.0</v>
      </c>
      <c r="K185" s="16">
        <v>44088.0</v>
      </c>
      <c r="L185" s="11" t="s">
        <v>86</v>
      </c>
      <c r="M185" s="10" t="s">
        <v>2743</v>
      </c>
      <c r="N185" s="10" t="s">
        <v>2744</v>
      </c>
      <c r="O185" s="94" t="s">
        <v>2745</v>
      </c>
      <c r="P185" s="23" t="s">
        <v>2746</v>
      </c>
      <c r="Q185" s="26" t="s">
        <v>1262</v>
      </c>
      <c r="R185" s="26" t="s">
        <v>2127</v>
      </c>
      <c r="S185" s="26" t="s">
        <v>2743</v>
      </c>
      <c r="T185" s="26">
        <v>9.15328201E8</v>
      </c>
      <c r="U185" s="26">
        <v>4.1703638443E10</v>
      </c>
      <c r="V185" s="27" t="s">
        <v>2747</v>
      </c>
    </row>
    <row r="186">
      <c r="A186" s="9" t="s">
        <v>2382</v>
      </c>
      <c r="B186" s="13" t="s">
        <v>2383</v>
      </c>
      <c r="C186" s="71" t="s">
        <v>1300</v>
      </c>
      <c r="D186" s="71" t="s">
        <v>1225</v>
      </c>
      <c r="E186" s="70"/>
      <c r="F186" s="71" t="s">
        <v>1247</v>
      </c>
      <c r="G186" s="10" t="s">
        <v>2748</v>
      </c>
      <c r="H186" s="11" t="s">
        <v>28</v>
      </c>
      <c r="I186" s="10">
        <f t="shared" si="1"/>
        <v>517</v>
      </c>
      <c r="J186" s="16">
        <v>46639.0</v>
      </c>
      <c r="K186" s="16">
        <v>44083.0</v>
      </c>
      <c r="L186" s="11" t="s">
        <v>86</v>
      </c>
      <c r="M186" s="10" t="s">
        <v>2749</v>
      </c>
      <c r="N186" s="10" t="s">
        <v>2750</v>
      </c>
      <c r="O186" s="94" t="s">
        <v>2387</v>
      </c>
      <c r="P186" s="23" t="s">
        <v>2751</v>
      </c>
      <c r="Q186" s="26" t="s">
        <v>736</v>
      </c>
      <c r="R186" s="93" t="s">
        <v>2389</v>
      </c>
      <c r="S186" s="26" t="s">
        <v>2390</v>
      </c>
      <c r="T186" s="78"/>
      <c r="U186" s="78"/>
      <c r="V186" s="27"/>
      <c r="W186" s="11" t="s">
        <v>2391</v>
      </c>
      <c r="X186" s="18" t="s">
        <v>2392</v>
      </c>
      <c r="Y186" s="11" t="s">
        <v>2393</v>
      </c>
    </row>
    <row r="187">
      <c r="A187" s="13"/>
      <c r="B187" s="13" t="s">
        <v>2752</v>
      </c>
      <c r="C187" s="70"/>
      <c r="D187" s="70"/>
      <c r="E187" s="70"/>
      <c r="F187" s="70"/>
      <c r="G187" s="10" t="s">
        <v>2753</v>
      </c>
      <c r="H187" s="11" t="s">
        <v>28</v>
      </c>
      <c r="I187" s="10">
        <f t="shared" si="1"/>
        <v>590</v>
      </c>
      <c r="J187" s="16">
        <v>46712.0</v>
      </c>
      <c r="K187" s="16">
        <v>44083.0</v>
      </c>
      <c r="L187" s="11" t="s">
        <v>86</v>
      </c>
      <c r="M187" s="10" t="s">
        <v>2754</v>
      </c>
      <c r="N187" s="10" t="s">
        <v>2755</v>
      </c>
      <c r="O187" s="94" t="s">
        <v>2756</v>
      </c>
      <c r="P187" s="23" t="s">
        <v>2757</v>
      </c>
      <c r="Q187" s="26" t="s">
        <v>177</v>
      </c>
      <c r="R187" s="26" t="s">
        <v>2758</v>
      </c>
      <c r="S187" s="26" t="s">
        <v>2754</v>
      </c>
      <c r="T187" s="26">
        <v>9.89254702E8</v>
      </c>
      <c r="U187" s="26">
        <v>5.1100914258E10</v>
      </c>
      <c r="V187" s="27" t="s">
        <v>2759</v>
      </c>
      <c r="W187" s="11" t="s">
        <v>2760</v>
      </c>
      <c r="X187" s="11" t="s">
        <v>2758</v>
      </c>
      <c r="Y187" s="11" t="s">
        <v>2761</v>
      </c>
      <c r="Z187" s="11" t="s">
        <v>244</v>
      </c>
      <c r="AA187" s="11">
        <v>3.761594698E10</v>
      </c>
    </row>
    <row r="188">
      <c r="A188" s="9"/>
      <c r="B188" s="13" t="s">
        <v>2762</v>
      </c>
      <c r="C188" s="70"/>
      <c r="D188" s="70"/>
      <c r="E188" s="70"/>
      <c r="F188" s="71" t="s">
        <v>1247</v>
      </c>
      <c r="G188" s="10" t="s">
        <v>2763</v>
      </c>
      <c r="H188" s="11" t="s">
        <v>28</v>
      </c>
      <c r="I188" s="10">
        <f t="shared" si="1"/>
        <v>-215</v>
      </c>
      <c r="J188" s="16">
        <v>45907.0</v>
      </c>
      <c r="K188" s="16">
        <v>44081.0</v>
      </c>
      <c r="L188" s="11" t="s">
        <v>29</v>
      </c>
      <c r="M188" s="10" t="s">
        <v>2764</v>
      </c>
      <c r="O188" s="94"/>
      <c r="P188" s="23"/>
      <c r="Q188" s="26" t="s">
        <v>959</v>
      </c>
      <c r="R188" s="26" t="s">
        <v>2765</v>
      </c>
      <c r="S188" s="26" t="s">
        <v>2764</v>
      </c>
      <c r="T188" s="78"/>
      <c r="U188" s="78"/>
      <c r="V188" s="79"/>
    </row>
    <row r="189">
      <c r="A189" s="13"/>
      <c r="B189" s="13" t="s">
        <v>2766</v>
      </c>
      <c r="C189" s="71" t="s">
        <v>1235</v>
      </c>
      <c r="D189" s="71" t="s">
        <v>1225</v>
      </c>
      <c r="E189" s="70"/>
      <c r="F189" s="70"/>
      <c r="G189" s="10" t="s">
        <v>2767</v>
      </c>
      <c r="H189" s="11" t="s">
        <v>28</v>
      </c>
      <c r="I189" s="10">
        <f t="shared" si="1"/>
        <v>511</v>
      </c>
      <c r="J189" s="16">
        <v>46633.0</v>
      </c>
      <c r="K189" s="16">
        <v>44077.0</v>
      </c>
      <c r="L189" s="11" t="s">
        <v>86</v>
      </c>
      <c r="M189" s="29" t="s">
        <v>2768</v>
      </c>
      <c r="N189" s="10" t="s">
        <v>2769</v>
      </c>
      <c r="O189" s="94" t="s">
        <v>2770</v>
      </c>
      <c r="P189" s="23" t="s">
        <v>2771</v>
      </c>
      <c r="Q189" s="26" t="s">
        <v>2772</v>
      </c>
      <c r="R189" s="26" t="s">
        <v>2773</v>
      </c>
      <c r="S189" s="26" t="s">
        <v>2774</v>
      </c>
      <c r="T189" s="26">
        <v>9.58176318E8</v>
      </c>
      <c r="U189" s="26">
        <v>8.9217889618E10</v>
      </c>
      <c r="V189" s="27" t="s">
        <v>2775</v>
      </c>
      <c r="W189" s="11" t="s">
        <v>2411</v>
      </c>
      <c r="X189" s="11" t="s">
        <v>2776</v>
      </c>
      <c r="Y189" s="11" t="s">
        <v>2777</v>
      </c>
      <c r="Z189" s="11">
        <v>9.96744075E8</v>
      </c>
      <c r="AA189" s="11">
        <v>5.6870777089E10</v>
      </c>
      <c r="AB189" s="11" t="s">
        <v>2778</v>
      </c>
      <c r="AI189" s="34"/>
    </row>
    <row r="190">
      <c r="A190" s="9" t="s">
        <v>2104</v>
      </c>
      <c r="B190" s="13" t="s">
        <v>2779</v>
      </c>
      <c r="C190" s="71" t="s">
        <v>1246</v>
      </c>
      <c r="D190" s="71" t="s">
        <v>1225</v>
      </c>
      <c r="E190" s="70"/>
      <c r="F190" s="70"/>
      <c r="G190" s="20" t="s">
        <v>2780</v>
      </c>
      <c r="H190" s="11" t="s">
        <v>28</v>
      </c>
      <c r="I190" s="10">
        <f t="shared" si="1"/>
        <v>505</v>
      </c>
      <c r="J190" s="16">
        <v>46627.0</v>
      </c>
      <c r="K190" s="16">
        <v>44063.0</v>
      </c>
      <c r="L190" s="11" t="s">
        <v>86</v>
      </c>
      <c r="M190" s="10" t="s">
        <v>2781</v>
      </c>
      <c r="N190" s="10" t="s">
        <v>2782</v>
      </c>
      <c r="O190" s="94" t="s">
        <v>2783</v>
      </c>
      <c r="P190" s="23" t="s">
        <v>2784</v>
      </c>
      <c r="Q190" s="26" t="s">
        <v>425</v>
      </c>
      <c r="R190" s="26" t="s">
        <v>2785</v>
      </c>
      <c r="S190" s="26" t="s">
        <v>2786</v>
      </c>
      <c r="T190" s="26">
        <v>9.11820643E8</v>
      </c>
      <c r="U190" s="26">
        <v>4.0931909481E10</v>
      </c>
      <c r="V190" s="27" t="s">
        <v>2787</v>
      </c>
    </row>
    <row r="191">
      <c r="A191" s="9" t="s">
        <v>2788</v>
      </c>
      <c r="B191" s="13" t="s">
        <v>2383</v>
      </c>
      <c r="C191" s="71" t="s">
        <v>1246</v>
      </c>
      <c r="D191" s="71" t="s">
        <v>1225</v>
      </c>
      <c r="E191" s="70"/>
      <c r="F191" s="71" t="s">
        <v>1247</v>
      </c>
      <c r="G191" s="10" t="s">
        <v>2789</v>
      </c>
      <c r="H191" s="11" t="s">
        <v>28</v>
      </c>
      <c r="I191" s="10">
        <f t="shared" si="1"/>
        <v>491</v>
      </c>
      <c r="J191" s="16">
        <v>46613.0</v>
      </c>
      <c r="K191" s="16">
        <v>44057.0</v>
      </c>
      <c r="L191" s="11" t="s">
        <v>86</v>
      </c>
      <c r="M191" s="10" t="s">
        <v>2790</v>
      </c>
      <c r="N191" s="10" t="s">
        <v>2791</v>
      </c>
      <c r="O191" s="94" t="s">
        <v>2387</v>
      </c>
      <c r="P191" s="23" t="s">
        <v>2751</v>
      </c>
      <c r="Q191" s="26" t="s">
        <v>736</v>
      </c>
      <c r="R191" s="93" t="s">
        <v>2389</v>
      </c>
      <c r="S191" s="26" t="s">
        <v>2390</v>
      </c>
      <c r="T191" s="26"/>
      <c r="U191" s="26"/>
      <c r="V191" s="27"/>
      <c r="W191" s="11" t="s">
        <v>2391</v>
      </c>
      <c r="X191" s="18" t="s">
        <v>2392</v>
      </c>
      <c r="Y191" s="11" t="s">
        <v>2393</v>
      </c>
    </row>
    <row r="192">
      <c r="A192" s="13"/>
      <c r="B192" s="13" t="s">
        <v>2792</v>
      </c>
      <c r="C192" s="71" t="s">
        <v>1224</v>
      </c>
      <c r="D192" s="71" t="s">
        <v>1225</v>
      </c>
      <c r="E192" s="70"/>
      <c r="F192" s="71" t="s">
        <v>1247</v>
      </c>
      <c r="G192" s="10" t="s">
        <v>2793</v>
      </c>
      <c r="H192" s="11" t="s">
        <v>28</v>
      </c>
      <c r="I192" s="10">
        <f t="shared" si="1"/>
        <v>434</v>
      </c>
      <c r="J192" s="16">
        <v>46556.0</v>
      </c>
      <c r="K192" s="16">
        <v>44000.0</v>
      </c>
      <c r="L192" s="11" t="s">
        <v>86</v>
      </c>
      <c r="M192" s="10" t="s">
        <v>2794</v>
      </c>
      <c r="N192" s="10" t="s">
        <v>2795</v>
      </c>
      <c r="O192" s="94" t="s">
        <v>2796</v>
      </c>
      <c r="P192" s="23" t="s">
        <v>2797</v>
      </c>
      <c r="Q192" s="26" t="s">
        <v>2798</v>
      </c>
      <c r="R192" s="26" t="s">
        <v>2799</v>
      </c>
      <c r="S192" s="26" t="s">
        <v>2800</v>
      </c>
      <c r="T192" s="26">
        <v>9.81634299E8</v>
      </c>
      <c r="U192" s="26">
        <v>9.8669828595E10</v>
      </c>
      <c r="V192" s="27" t="s">
        <v>2801</v>
      </c>
    </row>
    <row r="193">
      <c r="A193" s="13"/>
      <c r="B193" s="13" t="s">
        <v>2762</v>
      </c>
      <c r="C193" s="70"/>
      <c r="D193" s="70"/>
      <c r="E193" s="70"/>
      <c r="F193" s="70"/>
      <c r="G193" s="10" t="s">
        <v>2802</v>
      </c>
      <c r="H193" s="11" t="s">
        <v>28</v>
      </c>
      <c r="I193" s="10">
        <f t="shared" si="1"/>
        <v>-669</v>
      </c>
      <c r="J193" s="16">
        <v>45453.0</v>
      </c>
      <c r="K193" s="16">
        <v>43992.0</v>
      </c>
      <c r="L193" s="11" t="s">
        <v>29</v>
      </c>
      <c r="M193" s="10" t="s">
        <v>2764</v>
      </c>
      <c r="O193" s="94" t="s">
        <v>2803</v>
      </c>
      <c r="P193" s="23" t="s">
        <v>2804</v>
      </c>
      <c r="Q193" s="26" t="s">
        <v>959</v>
      </c>
      <c r="R193" s="26" t="s">
        <v>2765</v>
      </c>
      <c r="S193" s="26" t="s">
        <v>2764</v>
      </c>
      <c r="T193" s="26" t="s">
        <v>2805</v>
      </c>
      <c r="U193" s="78"/>
      <c r="V193" s="79"/>
    </row>
    <row r="194">
      <c r="A194" s="9" t="s">
        <v>2806</v>
      </c>
      <c r="B194" s="13" t="s">
        <v>2807</v>
      </c>
      <c r="C194" s="71" t="s">
        <v>1246</v>
      </c>
      <c r="D194" s="71" t="s">
        <v>1225</v>
      </c>
      <c r="E194" s="70"/>
      <c r="F194" s="70"/>
      <c r="G194" s="10" t="s">
        <v>2808</v>
      </c>
      <c r="H194" s="11" t="s">
        <v>28</v>
      </c>
      <c r="I194" s="10">
        <f t="shared" si="1"/>
        <v>33</v>
      </c>
      <c r="J194" s="16">
        <v>46155.0</v>
      </c>
      <c r="K194" s="16">
        <v>43956.0</v>
      </c>
      <c r="L194" s="11" t="s">
        <v>86</v>
      </c>
      <c r="M194" s="10" t="s">
        <v>2809</v>
      </c>
      <c r="N194" s="10" t="s">
        <v>2810</v>
      </c>
      <c r="O194" s="94" t="s">
        <v>2811</v>
      </c>
      <c r="P194" s="23" t="s">
        <v>2812</v>
      </c>
      <c r="Q194" s="26" t="s">
        <v>1305</v>
      </c>
      <c r="R194" s="26" t="s">
        <v>2813</v>
      </c>
      <c r="S194" s="26" t="s">
        <v>2814</v>
      </c>
      <c r="T194" s="26"/>
      <c r="U194" s="37">
        <v>3.1557344537E10</v>
      </c>
      <c r="V194" s="101" t="s">
        <v>2815</v>
      </c>
    </row>
    <row r="195">
      <c r="A195" s="9"/>
      <c r="B195" s="13" t="s">
        <v>2816</v>
      </c>
      <c r="C195" s="70"/>
      <c r="D195" s="70"/>
      <c r="E195" s="70"/>
      <c r="F195" s="70"/>
      <c r="G195" s="10" t="s">
        <v>2817</v>
      </c>
      <c r="H195" s="11" t="s">
        <v>28</v>
      </c>
      <c r="I195" s="10">
        <f t="shared" si="1"/>
        <v>-730</v>
      </c>
      <c r="J195" s="16">
        <v>45392.0</v>
      </c>
      <c r="K195" s="16">
        <v>43931.0</v>
      </c>
      <c r="L195" s="11" t="s">
        <v>29</v>
      </c>
      <c r="M195" s="10" t="s">
        <v>2818</v>
      </c>
      <c r="N195" s="10" t="s">
        <v>2819</v>
      </c>
      <c r="O195" s="94" t="s">
        <v>2820</v>
      </c>
      <c r="P195" s="23" t="s">
        <v>2821</v>
      </c>
      <c r="Q195" s="26" t="s">
        <v>2822</v>
      </c>
      <c r="R195" s="26" t="s">
        <v>2823</v>
      </c>
      <c r="S195" s="26" t="s">
        <v>2824</v>
      </c>
      <c r="T195" s="26">
        <v>9.89397431E8</v>
      </c>
      <c r="U195" s="26">
        <v>6.9382110475E10</v>
      </c>
      <c r="V195" s="27" t="s">
        <v>2825</v>
      </c>
      <c r="W195" s="11" t="s">
        <v>1262</v>
      </c>
      <c r="X195" s="11" t="s">
        <v>2826</v>
      </c>
      <c r="Y195" s="11" t="s">
        <v>2827</v>
      </c>
      <c r="Z195" s="11">
        <v>9.5665704E8</v>
      </c>
      <c r="AA195" s="11">
        <v>1.9925852192E10</v>
      </c>
      <c r="AB195" s="11" t="s">
        <v>2828</v>
      </c>
    </row>
    <row r="196">
      <c r="A196" s="13"/>
      <c r="B196" s="13" t="s">
        <v>2829</v>
      </c>
      <c r="C196" s="70"/>
      <c r="D196" s="70"/>
      <c r="E196" s="70"/>
      <c r="F196" s="70"/>
      <c r="G196" s="10" t="s">
        <v>2830</v>
      </c>
      <c r="H196" s="11" t="s">
        <v>28</v>
      </c>
      <c r="I196" s="10">
        <f t="shared" si="1"/>
        <v>-365</v>
      </c>
      <c r="J196" s="16">
        <v>45757.0</v>
      </c>
      <c r="K196" s="16">
        <v>43927.0</v>
      </c>
      <c r="L196" s="11" t="s">
        <v>29</v>
      </c>
      <c r="M196" s="10" t="s">
        <v>2831</v>
      </c>
      <c r="N196" s="10" t="s">
        <v>2832</v>
      </c>
      <c r="O196" s="94"/>
      <c r="P196" s="23" t="s">
        <v>2833</v>
      </c>
      <c r="Q196" s="26" t="s">
        <v>373</v>
      </c>
      <c r="R196" s="26" t="s">
        <v>2834</v>
      </c>
      <c r="S196" s="26" t="s">
        <v>2835</v>
      </c>
      <c r="T196" s="26">
        <v>9.98282897E8</v>
      </c>
      <c r="U196" s="26">
        <v>7.4426480668E10</v>
      </c>
      <c r="V196" s="27" t="s">
        <v>2836</v>
      </c>
      <c r="W196" s="11" t="s">
        <v>1497</v>
      </c>
      <c r="X196" s="11" t="s">
        <v>2837</v>
      </c>
      <c r="Y196" s="11" t="s">
        <v>2838</v>
      </c>
      <c r="Z196" s="11" t="s">
        <v>244</v>
      </c>
      <c r="AA196" s="11" t="s">
        <v>244</v>
      </c>
      <c r="AB196" s="11" t="s">
        <v>244</v>
      </c>
    </row>
    <row r="197">
      <c r="A197" s="9" t="s">
        <v>2468</v>
      </c>
      <c r="B197" s="13" t="s">
        <v>2839</v>
      </c>
      <c r="C197" s="71" t="s">
        <v>1246</v>
      </c>
      <c r="D197" s="71" t="s">
        <v>1225</v>
      </c>
      <c r="E197" s="70"/>
      <c r="F197" s="70"/>
      <c r="G197" s="10" t="s">
        <v>2840</v>
      </c>
      <c r="H197" s="11" t="s">
        <v>28</v>
      </c>
      <c r="I197" s="10">
        <f t="shared" si="1"/>
        <v>356</v>
      </c>
      <c r="J197" s="16">
        <v>46478.0</v>
      </c>
      <c r="K197" s="16">
        <v>43922.0</v>
      </c>
      <c r="L197" s="11" t="s">
        <v>86</v>
      </c>
      <c r="M197" s="10" t="s">
        <v>2841</v>
      </c>
      <c r="N197" s="10" t="s">
        <v>2842</v>
      </c>
      <c r="O197" s="94" t="s">
        <v>2843</v>
      </c>
      <c r="P197" s="23" t="s">
        <v>2844</v>
      </c>
      <c r="Q197" s="26" t="s">
        <v>509</v>
      </c>
      <c r="R197" s="26" t="s">
        <v>2845</v>
      </c>
      <c r="S197" s="26" t="s">
        <v>2846</v>
      </c>
      <c r="T197" s="26" t="s">
        <v>244</v>
      </c>
      <c r="U197" s="26">
        <v>6.5593282361E10</v>
      </c>
      <c r="V197" s="52">
        <v>30452.0</v>
      </c>
      <c r="W197" s="11" t="s">
        <v>447</v>
      </c>
      <c r="X197" s="11" t="s">
        <v>2847</v>
      </c>
      <c r="Y197" s="11" t="s">
        <v>2848</v>
      </c>
      <c r="Z197" s="11" t="s">
        <v>244</v>
      </c>
      <c r="AA197" s="11">
        <v>6.271448655E9</v>
      </c>
      <c r="AB197" s="12">
        <v>26616.0</v>
      </c>
    </row>
    <row r="198">
      <c r="A198" s="13"/>
      <c r="B198" s="13" t="s">
        <v>2849</v>
      </c>
      <c r="C198" s="71"/>
      <c r="D198" s="71"/>
      <c r="E198" s="71"/>
      <c r="F198" s="70"/>
      <c r="G198" s="10" t="s">
        <v>2850</v>
      </c>
      <c r="H198" s="11" t="s">
        <v>28</v>
      </c>
      <c r="I198" s="10">
        <f t="shared" si="1"/>
        <v>-415</v>
      </c>
      <c r="J198" s="16">
        <v>45707.0</v>
      </c>
      <c r="K198" s="16">
        <v>43880.0</v>
      </c>
      <c r="L198" s="11" t="s">
        <v>29</v>
      </c>
      <c r="M198" s="11" t="s">
        <v>2851</v>
      </c>
      <c r="N198" s="10" t="s">
        <v>2852</v>
      </c>
      <c r="O198" s="94" t="s">
        <v>2853</v>
      </c>
      <c r="P198" s="23"/>
      <c r="Q198" s="26" t="s">
        <v>407</v>
      </c>
      <c r="R198" s="26" t="s">
        <v>2854</v>
      </c>
      <c r="S198" s="26" t="s">
        <v>2855</v>
      </c>
      <c r="T198" s="26"/>
      <c r="U198" s="26"/>
      <c r="V198" s="27"/>
      <c r="W198" s="11" t="s">
        <v>1617</v>
      </c>
      <c r="X198" s="102" t="s">
        <v>2856</v>
      </c>
      <c r="Y198" s="11" t="s">
        <v>2857</v>
      </c>
      <c r="Z198" s="11" t="s">
        <v>2858</v>
      </c>
    </row>
    <row r="199">
      <c r="A199" s="13"/>
      <c r="B199" s="13" t="s">
        <v>2859</v>
      </c>
      <c r="C199" s="70"/>
      <c r="D199" s="70"/>
      <c r="E199" s="70"/>
      <c r="F199" s="70"/>
      <c r="G199" s="10" t="s">
        <v>2860</v>
      </c>
      <c r="H199" s="11" t="s">
        <v>28</v>
      </c>
      <c r="I199" s="10">
        <f t="shared" si="1"/>
        <v>-805</v>
      </c>
      <c r="J199" s="16">
        <v>45317.0</v>
      </c>
      <c r="K199" s="16">
        <v>43874.0</v>
      </c>
      <c r="L199" s="11" t="s">
        <v>2178</v>
      </c>
      <c r="M199" s="10" t="s">
        <v>2861</v>
      </c>
      <c r="N199" s="10" t="s">
        <v>2862</v>
      </c>
      <c r="O199" s="10" t="s">
        <v>2863</v>
      </c>
      <c r="P199" s="23" t="s">
        <v>2864</v>
      </c>
      <c r="Q199" s="26" t="s">
        <v>1128</v>
      </c>
      <c r="R199" s="26" t="s">
        <v>2865</v>
      </c>
      <c r="S199" s="26" t="s">
        <v>2861</v>
      </c>
      <c r="T199" s="26" t="s">
        <v>244</v>
      </c>
      <c r="U199" s="26">
        <v>6.9691988976E10</v>
      </c>
      <c r="V199" s="79"/>
    </row>
    <row r="200">
      <c r="A200" s="13"/>
      <c r="B200" s="13" t="s">
        <v>2866</v>
      </c>
      <c r="C200" s="70"/>
      <c r="D200" s="70"/>
      <c r="E200" s="70"/>
      <c r="F200" s="70"/>
      <c r="G200" s="10" t="s">
        <v>2867</v>
      </c>
      <c r="H200" s="11" t="s">
        <v>28</v>
      </c>
      <c r="I200" s="10">
        <f t="shared" si="1"/>
        <v>-1127</v>
      </c>
      <c r="J200" s="16">
        <v>44995.0</v>
      </c>
      <c r="K200" s="16">
        <v>43872.0</v>
      </c>
      <c r="L200" s="11" t="s">
        <v>2178</v>
      </c>
      <c r="M200" s="10" t="s">
        <v>2868</v>
      </c>
      <c r="N200" s="10" t="s">
        <v>2869</v>
      </c>
      <c r="O200" s="10" t="s">
        <v>2870</v>
      </c>
      <c r="P200" s="23" t="s">
        <v>2871</v>
      </c>
      <c r="Q200" s="26" t="s">
        <v>2872</v>
      </c>
      <c r="R200" s="26" t="s">
        <v>2873</v>
      </c>
      <c r="S200" s="26" t="s">
        <v>2874</v>
      </c>
      <c r="T200" s="26">
        <v>9.53924012E8</v>
      </c>
      <c r="U200" s="26">
        <v>6.8763140169E10</v>
      </c>
      <c r="V200" s="27" t="s">
        <v>2875</v>
      </c>
    </row>
    <row r="201">
      <c r="A201" s="9" t="s">
        <v>2104</v>
      </c>
      <c r="B201" s="13" t="s">
        <v>2876</v>
      </c>
      <c r="C201" s="85" t="s">
        <v>1246</v>
      </c>
      <c r="D201" s="71" t="s">
        <v>1225</v>
      </c>
      <c r="E201" s="85"/>
      <c r="F201" s="85" t="s">
        <v>1247</v>
      </c>
      <c r="G201" s="20" t="s">
        <v>2877</v>
      </c>
      <c r="H201" s="11" t="s">
        <v>28</v>
      </c>
      <c r="I201" s="10">
        <f t="shared" si="1"/>
        <v>307</v>
      </c>
      <c r="J201" s="16">
        <v>46429.0</v>
      </c>
      <c r="K201" s="16">
        <v>43872.0</v>
      </c>
      <c r="L201" s="11" t="s">
        <v>86</v>
      </c>
      <c r="M201" s="11" t="s">
        <v>2878</v>
      </c>
      <c r="N201" s="10" t="s">
        <v>2879</v>
      </c>
      <c r="O201" s="94" t="s">
        <v>2880</v>
      </c>
      <c r="P201" s="23" t="s">
        <v>2881</v>
      </c>
      <c r="Q201" s="26" t="s">
        <v>2872</v>
      </c>
      <c r="R201" s="26" t="s">
        <v>2873</v>
      </c>
      <c r="S201" s="26" t="s">
        <v>2874</v>
      </c>
      <c r="T201" s="26">
        <v>9.53924012E8</v>
      </c>
      <c r="U201" s="26">
        <v>6.8763140169E10</v>
      </c>
      <c r="V201" s="27" t="s">
        <v>2875</v>
      </c>
      <c r="W201" s="11" t="s">
        <v>2882</v>
      </c>
      <c r="X201" s="11" t="s">
        <v>2873</v>
      </c>
      <c r="Y201" s="11" t="s">
        <v>2883</v>
      </c>
      <c r="Z201" s="11">
        <v>9.16633501E8</v>
      </c>
      <c r="AA201" s="11" t="s">
        <v>244</v>
      </c>
      <c r="AB201" s="11" t="s">
        <v>2884</v>
      </c>
    </row>
    <row r="202">
      <c r="A202" s="13"/>
      <c r="B202" s="13" t="s">
        <v>2885</v>
      </c>
      <c r="C202" s="70"/>
      <c r="D202" s="70"/>
      <c r="E202" s="70"/>
      <c r="F202" s="70"/>
      <c r="G202" s="10" t="s">
        <v>2886</v>
      </c>
      <c r="H202" s="11" t="s">
        <v>28</v>
      </c>
      <c r="I202" s="10">
        <f t="shared" si="1"/>
        <v>-424</v>
      </c>
      <c r="J202" s="16">
        <v>45698.0</v>
      </c>
      <c r="K202" s="16">
        <v>43871.0</v>
      </c>
      <c r="L202" s="11" t="s">
        <v>29</v>
      </c>
      <c r="M202" s="10" t="s">
        <v>2887</v>
      </c>
      <c r="N202" s="10" t="s">
        <v>2888</v>
      </c>
      <c r="O202" s="94" t="s">
        <v>2889</v>
      </c>
      <c r="P202" s="23" t="s">
        <v>2890</v>
      </c>
      <c r="Q202" s="26" t="s">
        <v>1031</v>
      </c>
      <c r="R202" s="26" t="s">
        <v>2891</v>
      </c>
      <c r="S202" s="26" t="s">
        <v>2887</v>
      </c>
      <c r="T202" s="26">
        <v>9.12794723E8</v>
      </c>
      <c r="U202" s="26">
        <v>9.4381642713E10</v>
      </c>
      <c r="V202" s="27" t="s">
        <v>2892</v>
      </c>
      <c r="W202" s="11" t="s">
        <v>649</v>
      </c>
      <c r="X202" s="11" t="s">
        <v>2893</v>
      </c>
      <c r="Y202" s="11" t="s">
        <v>2894</v>
      </c>
      <c r="Z202" s="11" t="s">
        <v>2895</v>
      </c>
      <c r="AA202" s="11">
        <v>4.473243802E9</v>
      </c>
      <c r="AB202" s="11" t="s">
        <v>2896</v>
      </c>
    </row>
    <row r="203">
      <c r="A203" s="9" t="s">
        <v>2897</v>
      </c>
      <c r="B203" s="13" t="s">
        <v>2898</v>
      </c>
      <c r="C203" s="71" t="s">
        <v>1246</v>
      </c>
      <c r="D203" s="71" t="s">
        <v>1225</v>
      </c>
      <c r="E203" s="70"/>
      <c r="F203" s="70"/>
      <c r="G203" s="10" t="s">
        <v>2899</v>
      </c>
      <c r="H203" s="11" t="s">
        <v>28</v>
      </c>
      <c r="I203" s="10">
        <f t="shared" si="1"/>
        <v>49</v>
      </c>
      <c r="J203" s="16">
        <v>46171.0</v>
      </c>
      <c r="K203" s="16">
        <v>43845.0</v>
      </c>
      <c r="L203" s="11" t="s">
        <v>86</v>
      </c>
      <c r="M203" s="10" t="s">
        <v>2900</v>
      </c>
      <c r="N203" s="10" t="s">
        <v>2901</v>
      </c>
      <c r="O203" s="94" t="s">
        <v>2902</v>
      </c>
      <c r="P203" s="23" t="s">
        <v>2903</v>
      </c>
      <c r="Q203" s="26" t="s">
        <v>993</v>
      </c>
      <c r="R203" s="26" t="s">
        <v>2904</v>
      </c>
      <c r="S203" s="26" t="s">
        <v>2905</v>
      </c>
      <c r="T203" s="26">
        <v>9.14424111E8</v>
      </c>
      <c r="U203" s="26">
        <v>5.4089624563E10</v>
      </c>
      <c r="V203" s="79"/>
      <c r="W203" s="11" t="s">
        <v>34</v>
      </c>
      <c r="X203" s="11" t="s">
        <v>426</v>
      </c>
      <c r="Y203" s="11" t="s">
        <v>2906</v>
      </c>
      <c r="Z203" s="11">
        <v>1.4811155E7</v>
      </c>
      <c r="AA203" s="11" t="s">
        <v>2907</v>
      </c>
      <c r="AB203" s="11" t="s">
        <v>2907</v>
      </c>
    </row>
    <row r="204" ht="16.5" customHeight="1">
      <c r="A204" s="13"/>
      <c r="B204" s="9" t="s">
        <v>2908</v>
      </c>
      <c r="C204" s="70"/>
      <c r="D204" s="70"/>
      <c r="E204" s="70"/>
      <c r="F204" s="70"/>
      <c r="G204" s="10" t="s">
        <v>2909</v>
      </c>
      <c r="H204" s="11" t="s">
        <v>28</v>
      </c>
      <c r="I204" s="10">
        <f t="shared" si="1"/>
        <v>-163</v>
      </c>
      <c r="J204" s="12">
        <v>45959.0</v>
      </c>
      <c r="K204" s="12">
        <v>43767.0</v>
      </c>
      <c r="L204" s="11" t="s">
        <v>29</v>
      </c>
      <c r="M204" s="10" t="s">
        <v>2910</v>
      </c>
      <c r="N204" s="10" t="s">
        <v>2911</v>
      </c>
      <c r="O204" s="94" t="s">
        <v>2912</v>
      </c>
      <c r="P204" s="23" t="s">
        <v>2913</v>
      </c>
      <c r="Q204" s="26" t="s">
        <v>340</v>
      </c>
      <c r="R204" s="26" t="s">
        <v>2914</v>
      </c>
      <c r="S204" s="26" t="s">
        <v>2915</v>
      </c>
      <c r="T204" s="26"/>
      <c r="U204" s="26"/>
      <c r="V204" s="27"/>
    </row>
    <row r="205">
      <c r="A205" s="13"/>
      <c r="B205" s="13" t="s">
        <v>2916</v>
      </c>
      <c r="C205" s="70"/>
      <c r="D205" s="70"/>
      <c r="E205" s="70"/>
      <c r="F205" s="70"/>
      <c r="G205" s="10" t="s">
        <v>2917</v>
      </c>
      <c r="H205" s="11" t="s">
        <v>28</v>
      </c>
      <c r="I205" s="10">
        <f t="shared" si="1"/>
        <v>-992</v>
      </c>
      <c r="J205" s="16">
        <v>45130.0</v>
      </c>
      <c r="K205" s="12">
        <v>43753.0</v>
      </c>
      <c r="L205" s="11" t="s">
        <v>2178</v>
      </c>
      <c r="M205" s="10" t="s">
        <v>2918</v>
      </c>
      <c r="N205" s="10" t="s">
        <v>2919</v>
      </c>
      <c r="O205" s="10" t="s">
        <v>2920</v>
      </c>
      <c r="P205" s="23" t="s">
        <v>2921</v>
      </c>
      <c r="Q205" s="26" t="s">
        <v>1853</v>
      </c>
      <c r="R205" s="26" t="s">
        <v>2922</v>
      </c>
      <c r="S205" s="26" t="s">
        <v>2923</v>
      </c>
      <c r="T205" s="26" t="s">
        <v>2924</v>
      </c>
      <c r="U205" s="26">
        <v>4.112468995E10</v>
      </c>
      <c r="V205" s="27" t="s">
        <v>2925</v>
      </c>
      <c r="W205" s="11" t="s">
        <v>2926</v>
      </c>
      <c r="X205" s="11" t="s">
        <v>2927</v>
      </c>
      <c r="Y205" s="11" t="s">
        <v>2928</v>
      </c>
      <c r="Z205" s="11" t="s">
        <v>2929</v>
      </c>
      <c r="AA205" s="11">
        <v>6.5971837678E10</v>
      </c>
      <c r="AB205" s="11" t="s">
        <v>2930</v>
      </c>
    </row>
    <row r="206">
      <c r="A206" s="13"/>
      <c r="B206" s="13" t="s">
        <v>2931</v>
      </c>
      <c r="C206" s="71" t="s">
        <v>1224</v>
      </c>
      <c r="D206" s="71" t="s">
        <v>1225</v>
      </c>
      <c r="E206" s="70"/>
      <c r="F206" s="71" t="s">
        <v>1247</v>
      </c>
      <c r="G206" s="10" t="s">
        <v>2932</v>
      </c>
      <c r="H206" s="11" t="s">
        <v>28</v>
      </c>
      <c r="I206" s="10">
        <f t="shared" si="1"/>
        <v>533</v>
      </c>
      <c r="J206" s="16">
        <v>46655.0</v>
      </c>
      <c r="K206" s="16">
        <v>43712.0</v>
      </c>
      <c r="L206" s="11" t="s">
        <v>86</v>
      </c>
      <c r="M206" s="10" t="s">
        <v>2933</v>
      </c>
      <c r="N206" s="10" t="s">
        <v>2934</v>
      </c>
      <c r="O206" s="94" t="s">
        <v>2935</v>
      </c>
      <c r="P206" s="23" t="s">
        <v>2936</v>
      </c>
      <c r="Q206" s="11" t="s">
        <v>781</v>
      </c>
      <c r="R206" s="11" t="s">
        <v>2937</v>
      </c>
      <c r="S206" s="11" t="s">
        <v>2938</v>
      </c>
      <c r="T206" s="11" t="s">
        <v>2939</v>
      </c>
      <c r="U206" s="11">
        <v>4.5487529094E10</v>
      </c>
      <c r="V206" s="15" t="s">
        <v>2940</v>
      </c>
      <c r="W206" s="11" t="s">
        <v>781</v>
      </c>
      <c r="X206" s="11" t="s">
        <v>2937</v>
      </c>
      <c r="Y206" s="11" t="s">
        <v>2938</v>
      </c>
      <c r="Z206" s="11" t="s">
        <v>2939</v>
      </c>
      <c r="AA206" s="11">
        <v>4.5487529094E10</v>
      </c>
      <c r="AB206" s="11" t="s">
        <v>2940</v>
      </c>
    </row>
    <row r="207">
      <c r="A207" s="13"/>
      <c r="B207" s="13" t="s">
        <v>2941</v>
      </c>
      <c r="C207" s="70"/>
      <c r="D207" s="70"/>
      <c r="E207" s="70"/>
      <c r="F207" s="70"/>
      <c r="G207" s="10" t="s">
        <v>2942</v>
      </c>
      <c r="H207" s="11" t="s">
        <v>28</v>
      </c>
      <c r="I207" s="10">
        <f t="shared" si="1"/>
        <v>525</v>
      </c>
      <c r="J207" s="16">
        <v>46647.0</v>
      </c>
      <c r="K207" s="16">
        <v>43613.0</v>
      </c>
      <c r="L207" s="11" t="s">
        <v>29</v>
      </c>
      <c r="M207" s="10" t="s">
        <v>2943</v>
      </c>
      <c r="N207" s="10" t="s">
        <v>2944</v>
      </c>
      <c r="O207" s="94" t="s">
        <v>2945</v>
      </c>
      <c r="P207" s="23" t="s">
        <v>2946</v>
      </c>
      <c r="Q207" s="26" t="s">
        <v>2947</v>
      </c>
      <c r="R207" s="26" t="s">
        <v>2948</v>
      </c>
      <c r="S207" s="26" t="s">
        <v>2949</v>
      </c>
      <c r="T207" s="26" t="s">
        <v>2950</v>
      </c>
      <c r="U207" s="26">
        <v>3.4720900341E10</v>
      </c>
      <c r="V207" s="27" t="s">
        <v>2951</v>
      </c>
      <c r="W207" s="11" t="s">
        <v>1262</v>
      </c>
      <c r="X207" s="11" t="s">
        <v>2952</v>
      </c>
      <c r="Y207" s="11" t="s">
        <v>2953</v>
      </c>
      <c r="AA207" s="11">
        <v>9.793426366E9</v>
      </c>
      <c r="AB207" s="11" t="s">
        <v>2954</v>
      </c>
    </row>
    <row r="208">
      <c r="A208" s="9"/>
      <c r="B208" s="13" t="s">
        <v>2955</v>
      </c>
      <c r="C208" s="71" t="s">
        <v>1235</v>
      </c>
      <c r="D208" s="71" t="s">
        <v>1225</v>
      </c>
      <c r="E208" s="70"/>
      <c r="F208" s="71" t="s">
        <v>1247</v>
      </c>
      <c r="G208" s="10" t="s">
        <v>2956</v>
      </c>
      <c r="H208" s="11" t="s">
        <v>28</v>
      </c>
      <c r="I208" s="10">
        <f t="shared" si="1"/>
        <v>77</v>
      </c>
      <c r="J208" s="16">
        <v>46199.0</v>
      </c>
      <c r="K208" s="16">
        <v>43600.0</v>
      </c>
      <c r="L208" s="11" t="s">
        <v>86</v>
      </c>
      <c r="M208" s="10" t="s">
        <v>2957</v>
      </c>
      <c r="N208" s="10" t="s">
        <v>2958</v>
      </c>
      <c r="O208" s="94" t="s">
        <v>2959</v>
      </c>
      <c r="P208" s="23" t="s">
        <v>2960</v>
      </c>
      <c r="Q208" s="26" t="s">
        <v>2961</v>
      </c>
      <c r="R208" s="93" t="s">
        <v>2962</v>
      </c>
      <c r="S208" s="26" t="s">
        <v>2963</v>
      </c>
      <c r="T208" s="26"/>
      <c r="U208" s="26"/>
      <c r="V208" s="27"/>
      <c r="W208" s="11" t="s">
        <v>214</v>
      </c>
      <c r="X208" s="11" t="s">
        <v>242</v>
      </c>
      <c r="Y208" s="11" t="s">
        <v>2964</v>
      </c>
      <c r="Z208" s="11" t="s">
        <v>2965</v>
      </c>
      <c r="AA208" s="11">
        <v>9.3424128781E10</v>
      </c>
      <c r="AB208" s="11" t="s">
        <v>2966</v>
      </c>
      <c r="AC208" s="11" t="s">
        <v>2961</v>
      </c>
      <c r="AD208" s="11" t="s">
        <v>2962</v>
      </c>
      <c r="AE208" s="11" t="s">
        <v>2967</v>
      </c>
      <c r="AF208" s="11" t="s">
        <v>2968</v>
      </c>
      <c r="AG208" s="11">
        <v>4.7525152888E10</v>
      </c>
      <c r="AH208" s="11" t="s">
        <v>2969</v>
      </c>
    </row>
    <row r="209">
      <c r="A209" s="34"/>
      <c r="B209" s="34" t="s">
        <v>2970</v>
      </c>
      <c r="C209" s="72" t="s">
        <v>1224</v>
      </c>
      <c r="D209" s="71" t="s">
        <v>1225</v>
      </c>
      <c r="E209" s="73"/>
      <c r="F209" s="72" t="s">
        <v>1247</v>
      </c>
      <c r="G209" s="34" t="s">
        <v>2971</v>
      </c>
      <c r="H209" s="32" t="s">
        <v>28</v>
      </c>
      <c r="I209" s="34">
        <f t="shared" si="1"/>
        <v>395</v>
      </c>
      <c r="J209" s="35">
        <v>46517.0</v>
      </c>
      <c r="K209" s="35">
        <v>43595.0</v>
      </c>
      <c r="L209" s="32" t="s">
        <v>86</v>
      </c>
      <c r="M209" s="34" t="s">
        <v>2972</v>
      </c>
      <c r="N209" s="34" t="s">
        <v>2973</v>
      </c>
      <c r="O209" s="95" t="s">
        <v>2974</v>
      </c>
      <c r="P209" s="28" t="s">
        <v>2975</v>
      </c>
      <c r="Q209" s="75" t="s">
        <v>584</v>
      </c>
      <c r="R209" s="75" t="s">
        <v>2976</v>
      </c>
      <c r="S209" s="75" t="s">
        <v>2977</v>
      </c>
      <c r="T209" s="75">
        <v>9.8978434E8</v>
      </c>
      <c r="U209" s="75">
        <v>3.3412662987E10</v>
      </c>
      <c r="V209" s="103" t="s">
        <v>2978</v>
      </c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>
      <c r="A210" s="9" t="s">
        <v>2979</v>
      </c>
      <c r="B210" s="13" t="s">
        <v>2980</v>
      </c>
      <c r="C210" s="71" t="s">
        <v>1246</v>
      </c>
      <c r="D210" s="71" t="s">
        <v>1225</v>
      </c>
      <c r="E210" s="70"/>
      <c r="F210" s="70"/>
      <c r="G210" s="10" t="s">
        <v>2981</v>
      </c>
      <c r="H210" s="11" t="s">
        <v>28</v>
      </c>
      <c r="I210" s="10">
        <f t="shared" si="1"/>
        <v>200</v>
      </c>
      <c r="J210" s="12">
        <v>46322.0</v>
      </c>
      <c r="K210" s="16">
        <v>43543.0</v>
      </c>
      <c r="L210" s="11" t="s">
        <v>86</v>
      </c>
      <c r="M210" s="10" t="s">
        <v>2982</v>
      </c>
      <c r="N210" s="10" t="s">
        <v>2983</v>
      </c>
      <c r="O210" s="94" t="s">
        <v>2984</v>
      </c>
      <c r="P210" s="15" t="s">
        <v>2985</v>
      </c>
      <c r="Q210" s="26" t="s">
        <v>2986</v>
      </c>
      <c r="R210" s="26" t="s">
        <v>2987</v>
      </c>
      <c r="S210" s="26" t="s">
        <v>2988</v>
      </c>
      <c r="T210" s="26" t="s">
        <v>244</v>
      </c>
      <c r="U210" s="26">
        <v>6.1922468012E10</v>
      </c>
      <c r="V210" s="27" t="s">
        <v>2989</v>
      </c>
    </row>
    <row r="211">
      <c r="A211" s="13"/>
      <c r="B211" s="13" t="s">
        <v>2990</v>
      </c>
      <c r="C211" s="70"/>
      <c r="D211" s="70"/>
      <c r="E211" s="70"/>
      <c r="F211" s="70"/>
      <c r="G211" s="10" t="s">
        <v>2991</v>
      </c>
      <c r="H211" s="11" t="s">
        <v>28</v>
      </c>
      <c r="I211" s="10">
        <f t="shared" si="1"/>
        <v>-1143</v>
      </c>
      <c r="J211" s="16">
        <v>44979.0</v>
      </c>
      <c r="K211" s="16">
        <v>43518.0</v>
      </c>
      <c r="L211" s="11" t="s">
        <v>2178</v>
      </c>
      <c r="M211" s="10" t="s">
        <v>2992</v>
      </c>
      <c r="N211" s="10" t="s">
        <v>2993</v>
      </c>
      <c r="O211" s="10" t="s">
        <v>2994</v>
      </c>
      <c r="P211" s="23" t="s">
        <v>2995</v>
      </c>
      <c r="Q211" s="26" t="s">
        <v>373</v>
      </c>
      <c r="R211" s="26" t="s">
        <v>2996</v>
      </c>
      <c r="S211" s="26" t="s">
        <v>2997</v>
      </c>
      <c r="T211" s="26" t="s">
        <v>244</v>
      </c>
      <c r="U211" s="26">
        <v>9.909315515E10</v>
      </c>
      <c r="V211" s="27" t="s">
        <v>2998</v>
      </c>
      <c r="W211" s="11" t="s">
        <v>1170</v>
      </c>
      <c r="X211" s="11" t="s">
        <v>448</v>
      </c>
      <c r="Y211" s="11" t="s">
        <v>2999</v>
      </c>
      <c r="Z211" s="11">
        <v>9.95367616E8</v>
      </c>
      <c r="AA211" s="11">
        <v>1.825270625E10</v>
      </c>
      <c r="AB211" s="11" t="s">
        <v>3000</v>
      </c>
    </row>
    <row r="212">
      <c r="A212" s="9" t="s">
        <v>3001</v>
      </c>
      <c r="B212" s="9" t="s">
        <v>3002</v>
      </c>
      <c r="C212" s="71" t="s">
        <v>1246</v>
      </c>
      <c r="D212" s="71" t="s">
        <v>1225</v>
      </c>
      <c r="E212" s="70"/>
      <c r="F212" s="71" t="s">
        <v>1247</v>
      </c>
      <c r="G212" s="20" t="s">
        <v>3003</v>
      </c>
      <c r="H212" s="11" t="s">
        <v>28</v>
      </c>
      <c r="I212" s="10">
        <f t="shared" si="1"/>
        <v>-96</v>
      </c>
      <c r="J212" s="16">
        <v>46026.0</v>
      </c>
      <c r="K212" s="16">
        <v>43469.0</v>
      </c>
      <c r="L212" s="11" t="s">
        <v>86</v>
      </c>
      <c r="M212" s="11" t="s">
        <v>3004</v>
      </c>
      <c r="N212" s="11">
        <v>9.11272222E8</v>
      </c>
      <c r="O212" s="58" t="s">
        <v>3005</v>
      </c>
      <c r="P212" s="15" t="s">
        <v>3006</v>
      </c>
      <c r="Q212" s="26" t="s">
        <v>3007</v>
      </c>
      <c r="R212" s="26" t="s">
        <v>3008</v>
      </c>
      <c r="S212" s="26" t="s">
        <v>3009</v>
      </c>
      <c r="T212" s="26">
        <v>9.11272222E8</v>
      </c>
      <c r="U212" s="26">
        <v>4.0437456996E10</v>
      </c>
      <c r="V212" s="52">
        <v>32814.0</v>
      </c>
    </row>
    <row r="213">
      <c r="A213" s="13"/>
      <c r="B213" s="13" t="s">
        <v>3010</v>
      </c>
      <c r="C213" s="71" t="s">
        <v>1246</v>
      </c>
      <c r="D213" s="71" t="s">
        <v>1225</v>
      </c>
      <c r="E213" s="70"/>
      <c r="F213" s="71" t="s">
        <v>1247</v>
      </c>
      <c r="G213" s="10" t="s">
        <v>3011</v>
      </c>
      <c r="H213" s="11" t="s">
        <v>28</v>
      </c>
      <c r="I213" s="10">
        <f t="shared" si="1"/>
        <v>267</v>
      </c>
      <c r="J213" s="16">
        <v>46389.0</v>
      </c>
      <c r="K213" s="16">
        <v>43467.0</v>
      </c>
      <c r="L213" s="11" t="s">
        <v>86</v>
      </c>
      <c r="M213" s="10" t="s">
        <v>3012</v>
      </c>
      <c r="N213" s="10" t="s">
        <v>3013</v>
      </c>
      <c r="O213" s="94" t="s">
        <v>3014</v>
      </c>
      <c r="P213" s="23" t="s">
        <v>3015</v>
      </c>
      <c r="Q213" s="26" t="s">
        <v>174</v>
      </c>
      <c r="R213" s="26" t="s">
        <v>1199</v>
      </c>
      <c r="S213" s="26" t="s">
        <v>3016</v>
      </c>
      <c r="T213" s="26">
        <v>9.58848729E8</v>
      </c>
      <c r="U213" s="26">
        <v>6.8533810367E10</v>
      </c>
      <c r="V213" s="27" t="s">
        <v>3017</v>
      </c>
    </row>
    <row r="214">
      <c r="A214" s="13"/>
      <c r="B214" s="13" t="s">
        <v>3018</v>
      </c>
      <c r="C214" s="71" t="s">
        <v>1224</v>
      </c>
      <c r="D214" s="71" t="s">
        <v>1225</v>
      </c>
      <c r="E214" s="70"/>
      <c r="F214" s="70"/>
      <c r="G214" s="10" t="s">
        <v>3019</v>
      </c>
      <c r="H214" s="11" t="s">
        <v>28</v>
      </c>
      <c r="I214" s="10">
        <f t="shared" si="1"/>
        <v>612</v>
      </c>
      <c r="J214" s="12">
        <v>46734.0</v>
      </c>
      <c r="K214" s="12">
        <v>43462.0</v>
      </c>
      <c r="L214" s="11" t="s">
        <v>86</v>
      </c>
      <c r="M214" s="10" t="s">
        <v>3020</v>
      </c>
      <c r="N214" s="10" t="s">
        <v>3021</v>
      </c>
      <c r="O214" s="94" t="s">
        <v>3022</v>
      </c>
      <c r="P214" s="23" t="s">
        <v>3023</v>
      </c>
      <c r="Q214" s="26" t="s">
        <v>457</v>
      </c>
      <c r="R214" s="26" t="s">
        <v>1352</v>
      </c>
      <c r="S214" s="26" t="s">
        <v>3024</v>
      </c>
      <c r="T214" s="26">
        <v>9.17549564E8</v>
      </c>
      <c r="U214" s="26">
        <v>1.4345354321E10</v>
      </c>
      <c r="V214" s="27" t="s">
        <v>3025</v>
      </c>
      <c r="W214" s="11" t="s">
        <v>3026</v>
      </c>
      <c r="X214" s="11" t="s">
        <v>3027</v>
      </c>
      <c r="Y214" s="11" t="s">
        <v>3024</v>
      </c>
      <c r="Z214" s="11">
        <v>9.15892483E8</v>
      </c>
      <c r="AA214" s="11">
        <v>2.890072688E10</v>
      </c>
      <c r="AB214" s="11" t="s">
        <v>3028</v>
      </c>
    </row>
    <row r="215">
      <c r="A215" s="9" t="s">
        <v>3029</v>
      </c>
      <c r="B215" s="13" t="s">
        <v>3030</v>
      </c>
      <c r="C215" s="71" t="s">
        <v>1246</v>
      </c>
      <c r="D215" s="71" t="s">
        <v>1225</v>
      </c>
      <c r="E215" s="70"/>
      <c r="F215" s="71" t="s">
        <v>1247</v>
      </c>
      <c r="G215" s="10" t="s">
        <v>3031</v>
      </c>
      <c r="H215" s="11" t="s">
        <v>28</v>
      </c>
      <c r="I215" s="10">
        <f t="shared" si="1"/>
        <v>535</v>
      </c>
      <c r="J215" s="16">
        <v>46657.0</v>
      </c>
      <c r="K215" s="12">
        <v>43426.0</v>
      </c>
      <c r="L215" s="11" t="s">
        <v>86</v>
      </c>
      <c r="M215" s="11" t="s">
        <v>3032</v>
      </c>
      <c r="N215" s="10" t="s">
        <v>3033</v>
      </c>
      <c r="O215" s="94" t="s">
        <v>3034</v>
      </c>
      <c r="P215" s="23" t="s">
        <v>3035</v>
      </c>
      <c r="Q215" s="26" t="s">
        <v>3036</v>
      </c>
      <c r="R215" s="26" t="s">
        <v>3037</v>
      </c>
      <c r="S215" s="26" t="s">
        <v>3038</v>
      </c>
      <c r="T215" s="26" t="s">
        <v>3039</v>
      </c>
      <c r="U215" s="26">
        <v>7.1466404224E10</v>
      </c>
      <c r="V215" s="27" t="s">
        <v>3040</v>
      </c>
    </row>
    <row r="216">
      <c r="A216" s="9" t="s">
        <v>3041</v>
      </c>
      <c r="B216" s="13" t="s">
        <v>3042</v>
      </c>
      <c r="C216" s="71" t="s">
        <v>1246</v>
      </c>
      <c r="D216" s="71" t="s">
        <v>1225</v>
      </c>
      <c r="E216" s="70"/>
      <c r="F216" s="70"/>
      <c r="G216" s="10" t="s">
        <v>3043</v>
      </c>
      <c r="H216" s="11" t="s">
        <v>28</v>
      </c>
      <c r="I216" s="10">
        <f t="shared" si="1"/>
        <v>294</v>
      </c>
      <c r="J216" s="16">
        <v>46416.0</v>
      </c>
      <c r="K216" s="16">
        <v>43410.0</v>
      </c>
      <c r="L216" s="11" t="s">
        <v>86</v>
      </c>
      <c r="M216" s="10" t="s">
        <v>3044</v>
      </c>
      <c r="N216" s="10" t="s">
        <v>3045</v>
      </c>
      <c r="O216" s="94" t="s">
        <v>3046</v>
      </c>
      <c r="P216" s="23" t="s">
        <v>3047</v>
      </c>
      <c r="Q216" s="26" t="s">
        <v>3048</v>
      </c>
      <c r="R216" s="26" t="s">
        <v>3049</v>
      </c>
      <c r="S216" s="26" t="s">
        <v>3050</v>
      </c>
      <c r="T216" s="26" t="s">
        <v>3051</v>
      </c>
      <c r="U216" s="26">
        <v>6.8618400401E10</v>
      </c>
      <c r="V216" s="27" t="s">
        <v>3052</v>
      </c>
    </row>
    <row r="217">
      <c r="A217" s="9" t="s">
        <v>2217</v>
      </c>
      <c r="B217" s="13" t="s">
        <v>3053</v>
      </c>
      <c r="C217" s="71" t="s">
        <v>1246</v>
      </c>
      <c r="D217" s="71" t="s">
        <v>1225</v>
      </c>
      <c r="E217" s="70"/>
      <c r="F217" s="71" t="s">
        <v>1247</v>
      </c>
      <c r="G217" s="10" t="s">
        <v>3054</v>
      </c>
      <c r="H217" s="11" t="s">
        <v>28</v>
      </c>
      <c r="I217" s="10">
        <f t="shared" si="1"/>
        <v>283</v>
      </c>
      <c r="J217" s="16">
        <v>46405.0</v>
      </c>
      <c r="K217" s="16">
        <v>43406.0</v>
      </c>
      <c r="L217" s="11" t="s">
        <v>86</v>
      </c>
      <c r="M217" s="11" t="s">
        <v>3055</v>
      </c>
      <c r="N217" s="10" t="s">
        <v>3056</v>
      </c>
      <c r="O217" s="94" t="s">
        <v>3057</v>
      </c>
      <c r="P217" s="23" t="s">
        <v>3058</v>
      </c>
      <c r="Q217" s="26" t="s">
        <v>781</v>
      </c>
      <c r="R217" s="26" t="s">
        <v>3059</v>
      </c>
      <c r="S217" s="26" t="s">
        <v>3060</v>
      </c>
      <c r="T217" s="26">
        <v>9.12203211E8</v>
      </c>
      <c r="U217" s="26">
        <v>9.6547493204E10</v>
      </c>
      <c r="V217" s="27" t="s">
        <v>3061</v>
      </c>
    </row>
    <row r="218">
      <c r="A218" s="9" t="s">
        <v>3062</v>
      </c>
      <c r="B218" s="13" t="s">
        <v>3063</v>
      </c>
      <c r="C218" s="71" t="s">
        <v>1246</v>
      </c>
      <c r="D218" s="71" t="s">
        <v>1225</v>
      </c>
      <c r="E218" s="70"/>
      <c r="F218" s="71" t="s">
        <v>1247</v>
      </c>
      <c r="G218" s="10" t="s">
        <v>3064</v>
      </c>
      <c r="H218" s="11" t="s">
        <v>28</v>
      </c>
      <c r="I218" s="10">
        <f t="shared" si="1"/>
        <v>591</v>
      </c>
      <c r="J218" s="12">
        <v>46713.0</v>
      </c>
      <c r="K218" s="12">
        <v>43391.0</v>
      </c>
      <c r="L218" s="11" t="s">
        <v>86</v>
      </c>
      <c r="M218" s="10" t="s">
        <v>3065</v>
      </c>
      <c r="N218" s="10" t="s">
        <v>3066</v>
      </c>
      <c r="O218" s="94" t="s">
        <v>3067</v>
      </c>
      <c r="P218" s="23" t="s">
        <v>3068</v>
      </c>
      <c r="Q218" s="26" t="s">
        <v>1725</v>
      </c>
      <c r="R218" s="26" t="s">
        <v>3069</v>
      </c>
      <c r="S218" s="26" t="s">
        <v>3070</v>
      </c>
      <c r="T218" s="26">
        <v>3.85916135433E11</v>
      </c>
      <c r="U218" s="26">
        <v>2.1408454143E10</v>
      </c>
      <c r="V218" s="27" t="s">
        <v>3071</v>
      </c>
    </row>
    <row r="219">
      <c r="A219" s="13"/>
      <c r="B219" s="13" t="s">
        <v>3072</v>
      </c>
      <c r="C219" s="71" t="s">
        <v>1235</v>
      </c>
      <c r="D219" s="71" t="s">
        <v>1225</v>
      </c>
      <c r="E219" s="70"/>
      <c r="F219" s="71" t="s">
        <v>1247</v>
      </c>
      <c r="G219" s="20" t="s">
        <v>3073</v>
      </c>
      <c r="H219" s="11" t="s">
        <v>28</v>
      </c>
      <c r="I219" s="10">
        <f t="shared" si="1"/>
        <v>408</v>
      </c>
      <c r="J219" s="16">
        <v>46530.0</v>
      </c>
      <c r="K219" s="12">
        <v>43384.0</v>
      </c>
      <c r="L219" s="11" t="s">
        <v>86</v>
      </c>
      <c r="M219" s="10" t="s">
        <v>3074</v>
      </c>
      <c r="N219" s="10" t="s">
        <v>3075</v>
      </c>
      <c r="O219" s="94" t="s">
        <v>3076</v>
      </c>
      <c r="P219" s="23" t="s">
        <v>3077</v>
      </c>
      <c r="Q219" s="26" t="s">
        <v>214</v>
      </c>
      <c r="R219" s="26" t="s">
        <v>426</v>
      </c>
      <c r="S219" s="26" t="s">
        <v>3078</v>
      </c>
      <c r="T219" s="26">
        <v>9.15786275E8</v>
      </c>
      <c r="U219" s="26">
        <v>2.8238271122E10</v>
      </c>
      <c r="V219" s="27" t="s">
        <v>3079</v>
      </c>
    </row>
    <row r="220">
      <c r="A220" s="9" t="s">
        <v>3080</v>
      </c>
      <c r="B220" s="13" t="s">
        <v>3081</v>
      </c>
      <c r="C220" s="71" t="s">
        <v>1235</v>
      </c>
      <c r="D220" s="71" t="s">
        <v>1225</v>
      </c>
      <c r="E220" s="70"/>
      <c r="F220" s="70"/>
      <c r="G220" s="10" t="s">
        <v>3082</v>
      </c>
      <c r="H220" s="11" t="s">
        <v>28</v>
      </c>
      <c r="I220" s="10">
        <f t="shared" si="1"/>
        <v>281</v>
      </c>
      <c r="J220" s="16">
        <v>46403.0</v>
      </c>
      <c r="K220" s="16">
        <v>43376.0</v>
      </c>
      <c r="L220" s="11" t="s">
        <v>86</v>
      </c>
      <c r="M220" s="11" t="s">
        <v>3083</v>
      </c>
      <c r="N220" s="10" t="s">
        <v>3084</v>
      </c>
      <c r="O220" s="94" t="s">
        <v>3085</v>
      </c>
      <c r="P220" s="23" t="s">
        <v>3086</v>
      </c>
      <c r="Q220" s="26" t="s">
        <v>271</v>
      </c>
      <c r="R220" s="26" t="s">
        <v>3087</v>
      </c>
      <c r="S220" s="26" t="s">
        <v>3088</v>
      </c>
      <c r="T220" s="26">
        <v>9.84463E7</v>
      </c>
      <c r="U220" s="26">
        <v>9.2348100902E10</v>
      </c>
      <c r="V220" s="27" t="s">
        <v>3089</v>
      </c>
      <c r="W220" s="11" t="s">
        <v>1076</v>
      </c>
      <c r="X220" s="11" t="s">
        <v>3090</v>
      </c>
      <c r="Y220" s="11" t="s">
        <v>3091</v>
      </c>
      <c r="Z220" s="11" t="s">
        <v>3092</v>
      </c>
      <c r="AA220" s="11">
        <v>5.6853776384E10</v>
      </c>
      <c r="AB220" s="11" t="s">
        <v>244</v>
      </c>
    </row>
    <row r="221">
      <c r="A221" s="13"/>
      <c r="B221" s="13" t="s">
        <v>3093</v>
      </c>
      <c r="C221" s="71" t="s">
        <v>1246</v>
      </c>
      <c r="D221" s="71" t="s">
        <v>1225</v>
      </c>
      <c r="E221" s="70"/>
      <c r="F221" s="70"/>
      <c r="G221" s="10" t="s">
        <v>3094</v>
      </c>
      <c r="H221" s="11" t="s">
        <v>28</v>
      </c>
      <c r="I221" s="10">
        <f t="shared" si="1"/>
        <v>-191</v>
      </c>
      <c r="J221" s="16">
        <v>45931.0</v>
      </c>
      <c r="K221" s="16">
        <v>43283.0</v>
      </c>
      <c r="L221" s="11" t="s">
        <v>86</v>
      </c>
      <c r="M221" s="10" t="s">
        <v>3095</v>
      </c>
      <c r="N221" s="10" t="s">
        <v>3096</v>
      </c>
      <c r="O221" s="94" t="s">
        <v>3097</v>
      </c>
      <c r="P221" s="23" t="s">
        <v>3098</v>
      </c>
      <c r="Q221" s="26" t="s">
        <v>859</v>
      </c>
      <c r="R221" s="26" t="s">
        <v>3099</v>
      </c>
      <c r="S221" s="26" t="s">
        <v>3100</v>
      </c>
      <c r="T221" s="26" t="s">
        <v>3101</v>
      </c>
      <c r="U221" s="78"/>
      <c r="V221" s="79"/>
    </row>
    <row r="222">
      <c r="A222" s="9"/>
      <c r="B222" s="13" t="s">
        <v>1891</v>
      </c>
      <c r="C222" s="71" t="s">
        <v>1224</v>
      </c>
      <c r="D222" s="71" t="s">
        <v>1225</v>
      </c>
      <c r="E222" s="70"/>
      <c r="F222" s="70"/>
      <c r="G222" s="10" t="s">
        <v>3102</v>
      </c>
      <c r="H222" s="11" t="s">
        <v>28</v>
      </c>
      <c r="I222" s="10">
        <f t="shared" si="1"/>
        <v>400</v>
      </c>
      <c r="J222" s="16">
        <v>46522.0</v>
      </c>
      <c r="K222" s="16">
        <v>43270.0</v>
      </c>
      <c r="L222" s="11" t="s">
        <v>86</v>
      </c>
      <c r="M222" s="10" t="s">
        <v>3103</v>
      </c>
      <c r="N222" s="10" t="s">
        <v>3104</v>
      </c>
      <c r="O222" s="94" t="s">
        <v>1895</v>
      </c>
      <c r="P222" s="23" t="s">
        <v>3105</v>
      </c>
      <c r="Q222" s="26" t="s">
        <v>1897</v>
      </c>
      <c r="R222" s="26" t="s">
        <v>1898</v>
      </c>
      <c r="S222" s="26" t="s">
        <v>1899</v>
      </c>
      <c r="T222" s="26" t="s">
        <v>1894</v>
      </c>
      <c r="U222" s="26">
        <v>6.6832938713E10</v>
      </c>
      <c r="V222" s="52">
        <v>28727.0</v>
      </c>
      <c r="W222" s="11" t="s">
        <v>285</v>
      </c>
      <c r="X222" s="11" t="s">
        <v>3106</v>
      </c>
      <c r="Y222" s="11" t="s">
        <v>3107</v>
      </c>
      <c r="Z222" s="11">
        <v>9.89474812E8</v>
      </c>
      <c r="AA222" s="11">
        <v>5.9251416574E10</v>
      </c>
      <c r="AB222" s="11" t="s">
        <v>3108</v>
      </c>
    </row>
    <row r="223">
      <c r="A223" s="9" t="s">
        <v>3109</v>
      </c>
      <c r="B223" s="13" t="s">
        <v>3110</v>
      </c>
      <c r="C223" s="71" t="s">
        <v>1246</v>
      </c>
      <c r="D223" s="71" t="s">
        <v>1225</v>
      </c>
      <c r="E223" s="70"/>
      <c r="F223" s="71" t="s">
        <v>1247</v>
      </c>
      <c r="G223" s="10" t="s">
        <v>3111</v>
      </c>
      <c r="H223" s="11" t="s">
        <v>28</v>
      </c>
      <c r="I223" s="10">
        <f t="shared" si="1"/>
        <v>339</v>
      </c>
      <c r="J223" s="16">
        <v>46461.0</v>
      </c>
      <c r="K223" s="16">
        <v>43174.0</v>
      </c>
      <c r="L223" s="11" t="s">
        <v>86</v>
      </c>
      <c r="M223" s="10" t="s">
        <v>3112</v>
      </c>
      <c r="N223" s="10" t="s">
        <v>3113</v>
      </c>
      <c r="O223" s="94" t="s">
        <v>3114</v>
      </c>
      <c r="P223" s="23" t="s">
        <v>3115</v>
      </c>
      <c r="Q223" s="26" t="s">
        <v>959</v>
      </c>
      <c r="R223" s="26" t="s">
        <v>2650</v>
      </c>
      <c r="S223" s="26" t="s">
        <v>3116</v>
      </c>
      <c r="T223" s="26">
        <v>9.92922229E8</v>
      </c>
      <c r="U223" s="26">
        <v>5.0649651383E10</v>
      </c>
      <c r="V223" s="27" t="s">
        <v>3117</v>
      </c>
      <c r="W223" s="11" t="s">
        <v>947</v>
      </c>
      <c r="X223" s="11" t="s">
        <v>3118</v>
      </c>
      <c r="Y223" s="11" t="s">
        <v>3119</v>
      </c>
      <c r="Z223" s="11">
        <v>9.92922228E8</v>
      </c>
      <c r="AA223" s="11">
        <v>4.0814469937E10</v>
      </c>
      <c r="AB223" s="11" t="s">
        <v>3120</v>
      </c>
    </row>
    <row r="224">
      <c r="A224" s="13"/>
      <c r="B224" s="13" t="s">
        <v>3121</v>
      </c>
      <c r="C224" s="71" t="s">
        <v>1484</v>
      </c>
      <c r="D224" s="71" t="s">
        <v>1225</v>
      </c>
      <c r="E224" s="71" t="s">
        <v>1247</v>
      </c>
      <c r="F224" s="71" t="s">
        <v>1247</v>
      </c>
      <c r="G224" s="10" t="s">
        <v>3122</v>
      </c>
      <c r="H224" s="11" t="s">
        <v>28</v>
      </c>
      <c r="I224" s="10">
        <f t="shared" si="1"/>
        <v>540</v>
      </c>
      <c r="J224" s="16">
        <v>46662.0</v>
      </c>
      <c r="K224" s="16">
        <v>43159.0</v>
      </c>
      <c r="L224" s="11" t="s">
        <v>86</v>
      </c>
      <c r="M224" s="10" t="s">
        <v>3123</v>
      </c>
      <c r="N224" s="10" t="s">
        <v>3124</v>
      </c>
      <c r="O224" s="94" t="s">
        <v>3125</v>
      </c>
      <c r="P224" s="23" t="s">
        <v>3126</v>
      </c>
      <c r="Q224" s="26" t="s">
        <v>376</v>
      </c>
      <c r="R224" s="26" t="s">
        <v>3127</v>
      </c>
      <c r="S224" s="26" t="s">
        <v>3128</v>
      </c>
      <c r="T224" s="26" t="s">
        <v>3129</v>
      </c>
      <c r="U224" s="26"/>
      <c r="V224" s="27"/>
    </row>
    <row r="225">
      <c r="A225" s="9"/>
      <c r="B225" s="13" t="s">
        <v>3130</v>
      </c>
      <c r="C225" s="71" t="s">
        <v>1246</v>
      </c>
      <c r="D225" s="71" t="s">
        <v>1225</v>
      </c>
      <c r="E225" s="70"/>
      <c r="F225" s="70"/>
      <c r="G225" s="10" t="s">
        <v>3131</v>
      </c>
      <c r="H225" s="11" t="s">
        <v>28</v>
      </c>
      <c r="I225" s="10">
        <f t="shared" si="1"/>
        <v>312</v>
      </c>
      <c r="J225" s="16">
        <v>46434.0</v>
      </c>
      <c r="K225" s="16">
        <v>43146.0</v>
      </c>
      <c r="L225" s="11" t="s">
        <v>86</v>
      </c>
      <c r="M225" s="10" t="s">
        <v>3132</v>
      </c>
      <c r="N225" s="10" t="s">
        <v>3133</v>
      </c>
      <c r="O225" s="94" t="s">
        <v>3134</v>
      </c>
      <c r="P225" s="23" t="s">
        <v>3135</v>
      </c>
      <c r="Q225" s="26" t="s">
        <v>3136</v>
      </c>
      <c r="R225" s="26" t="s">
        <v>3137</v>
      </c>
      <c r="S225" s="26" t="s">
        <v>3138</v>
      </c>
      <c r="T225" s="26" t="s">
        <v>3133</v>
      </c>
      <c r="U225" s="26">
        <v>3.073805813E9</v>
      </c>
      <c r="V225" s="27" t="s">
        <v>3139</v>
      </c>
      <c r="W225" s="11" t="s">
        <v>959</v>
      </c>
      <c r="X225" s="11" t="s">
        <v>3140</v>
      </c>
      <c r="Y225" s="11" t="s">
        <v>3141</v>
      </c>
      <c r="Z225" s="11" t="s">
        <v>3142</v>
      </c>
      <c r="AA225" s="11">
        <v>4.6061877376E10</v>
      </c>
      <c r="AB225" s="11" t="s">
        <v>3143</v>
      </c>
    </row>
    <row r="226">
      <c r="A226" s="9"/>
      <c r="B226" s="13" t="s">
        <v>331</v>
      </c>
      <c r="C226" s="71" t="s">
        <v>1246</v>
      </c>
      <c r="D226" s="71" t="s">
        <v>1225</v>
      </c>
      <c r="E226" s="71" t="s">
        <v>1247</v>
      </c>
      <c r="F226" s="71" t="s">
        <v>1247</v>
      </c>
      <c r="G226" s="10" t="s">
        <v>3144</v>
      </c>
      <c r="H226" s="11" t="s">
        <v>69</v>
      </c>
      <c r="I226" s="10">
        <f t="shared" si="1"/>
        <v>-66</v>
      </c>
      <c r="J226" s="16">
        <v>46056.0</v>
      </c>
      <c r="K226" s="12">
        <v>43059.0</v>
      </c>
      <c r="L226" s="11" t="s">
        <v>86</v>
      </c>
      <c r="M226" s="10" t="s">
        <v>333</v>
      </c>
      <c r="N226" s="10" t="s">
        <v>334</v>
      </c>
      <c r="O226" s="94" t="s">
        <v>335</v>
      </c>
      <c r="P226" s="15" t="s">
        <v>336</v>
      </c>
      <c r="Q226" s="26" t="s">
        <v>1105</v>
      </c>
      <c r="R226" s="26" t="s">
        <v>3145</v>
      </c>
      <c r="S226" s="26" t="s">
        <v>3146</v>
      </c>
      <c r="T226" s="26">
        <v>9.98014031E8</v>
      </c>
      <c r="U226" s="78"/>
      <c r="V226" s="79"/>
    </row>
    <row r="227">
      <c r="A227" s="9" t="s">
        <v>3147</v>
      </c>
      <c r="B227" s="13" t="s">
        <v>3148</v>
      </c>
      <c r="C227" s="71" t="s">
        <v>1246</v>
      </c>
      <c r="D227" s="71" t="s">
        <v>1225</v>
      </c>
      <c r="E227" s="70"/>
      <c r="F227" s="71" t="s">
        <v>1247</v>
      </c>
      <c r="G227" s="10" t="s">
        <v>3149</v>
      </c>
      <c r="H227" s="11" t="s">
        <v>28</v>
      </c>
      <c r="I227" s="10">
        <f t="shared" si="1"/>
        <v>481</v>
      </c>
      <c r="J227" s="16">
        <v>46603.0</v>
      </c>
      <c r="K227" s="12">
        <v>43024.0</v>
      </c>
      <c r="L227" s="11" t="s">
        <v>86</v>
      </c>
      <c r="M227" s="10" t="s">
        <v>3150</v>
      </c>
      <c r="N227" s="10" t="s">
        <v>3151</v>
      </c>
      <c r="O227" s="94" t="s">
        <v>3152</v>
      </c>
      <c r="P227" s="23" t="s">
        <v>3153</v>
      </c>
      <c r="Q227" s="26" t="s">
        <v>3154</v>
      </c>
      <c r="R227" s="26" t="s">
        <v>3155</v>
      </c>
      <c r="S227" s="26" t="s">
        <v>3156</v>
      </c>
      <c r="T227" s="78"/>
      <c r="U227" s="26">
        <v>2.748008669E9</v>
      </c>
      <c r="V227" s="27" t="s">
        <v>3157</v>
      </c>
      <c r="W227" s="11" t="s">
        <v>1968</v>
      </c>
      <c r="X227" s="11" t="s">
        <v>3158</v>
      </c>
      <c r="Y227" s="11" t="s">
        <v>3159</v>
      </c>
      <c r="AI227" s="34"/>
    </row>
    <row r="228">
      <c r="A228" s="13"/>
      <c r="B228" s="13" t="s">
        <v>3160</v>
      </c>
      <c r="C228" s="71" t="s">
        <v>1235</v>
      </c>
      <c r="D228" s="71" t="s">
        <v>1225</v>
      </c>
      <c r="E228" s="70"/>
      <c r="F228" s="70"/>
      <c r="G228" s="10" t="s">
        <v>3161</v>
      </c>
      <c r="H228" s="11" t="s">
        <v>28</v>
      </c>
      <c r="I228" s="10">
        <f t="shared" si="1"/>
        <v>629</v>
      </c>
      <c r="J228" s="12">
        <v>46751.0</v>
      </c>
      <c r="K228" s="12">
        <v>43021.0</v>
      </c>
      <c r="L228" s="11" t="s">
        <v>86</v>
      </c>
      <c r="M228" s="10" t="s">
        <v>3162</v>
      </c>
      <c r="N228" s="10" t="s">
        <v>3163</v>
      </c>
      <c r="O228" s="94" t="s">
        <v>3164</v>
      </c>
      <c r="P228" s="23" t="s">
        <v>3165</v>
      </c>
      <c r="Q228" s="26" t="s">
        <v>993</v>
      </c>
      <c r="R228" s="26" t="s">
        <v>3166</v>
      </c>
      <c r="S228" s="26" t="s">
        <v>3167</v>
      </c>
      <c r="T228" s="26"/>
      <c r="U228" s="26">
        <v>3.79507462E10</v>
      </c>
      <c r="V228" s="27" t="s">
        <v>3168</v>
      </c>
      <c r="W228" s="11" t="s">
        <v>398</v>
      </c>
      <c r="X228" s="11" t="s">
        <v>3166</v>
      </c>
      <c r="Y228" s="11" t="s">
        <v>3169</v>
      </c>
      <c r="AI228" s="34"/>
    </row>
    <row r="229">
      <c r="A229" s="9" t="s">
        <v>3062</v>
      </c>
      <c r="B229" s="13" t="s">
        <v>3170</v>
      </c>
      <c r="C229" s="71" t="s">
        <v>1246</v>
      </c>
      <c r="D229" s="71" t="s">
        <v>1225</v>
      </c>
      <c r="E229" s="70"/>
      <c r="F229" s="71" t="s">
        <v>1247</v>
      </c>
      <c r="G229" s="10" t="s">
        <v>3171</v>
      </c>
      <c r="H229" s="11" t="s">
        <v>28</v>
      </c>
      <c r="I229" s="10">
        <f t="shared" si="1"/>
        <v>134</v>
      </c>
      <c r="J229" s="16">
        <v>46256.0</v>
      </c>
      <c r="K229" s="16">
        <v>42891.0</v>
      </c>
      <c r="L229" s="11" t="s">
        <v>86</v>
      </c>
      <c r="M229" s="10" t="s">
        <v>3172</v>
      </c>
      <c r="N229" s="10" t="s">
        <v>3173</v>
      </c>
      <c r="O229" s="94" t="s">
        <v>3174</v>
      </c>
      <c r="P229" s="23" t="s">
        <v>3175</v>
      </c>
      <c r="Q229" s="26" t="s">
        <v>204</v>
      </c>
      <c r="R229" s="26" t="s">
        <v>3176</v>
      </c>
      <c r="S229" s="26" t="s">
        <v>3177</v>
      </c>
      <c r="T229" s="26">
        <v>9.8695696E7</v>
      </c>
      <c r="U229" s="26">
        <v>5.0880116078E10</v>
      </c>
      <c r="V229" s="27" t="s">
        <v>3178</v>
      </c>
    </row>
    <row r="230">
      <c r="A230" s="13"/>
      <c r="B230" s="13" t="s">
        <v>2762</v>
      </c>
      <c r="C230" s="71" t="s">
        <v>1224</v>
      </c>
      <c r="D230" s="71" t="s">
        <v>1225</v>
      </c>
      <c r="E230" s="70"/>
      <c r="F230" s="70"/>
      <c r="G230" s="10" t="s">
        <v>3179</v>
      </c>
      <c r="H230" s="11" t="s">
        <v>28</v>
      </c>
      <c r="I230" s="10">
        <f t="shared" si="1"/>
        <v>305</v>
      </c>
      <c r="J230" s="16">
        <v>46427.0</v>
      </c>
      <c r="K230" s="16">
        <v>42852.0</v>
      </c>
      <c r="L230" s="11" t="s">
        <v>86</v>
      </c>
      <c r="M230" s="10" t="s">
        <v>3180</v>
      </c>
      <c r="N230" s="10" t="s">
        <v>3181</v>
      </c>
      <c r="O230" s="94" t="s">
        <v>2803</v>
      </c>
      <c r="P230" s="23" t="s">
        <v>3182</v>
      </c>
      <c r="Q230" s="26" t="s">
        <v>959</v>
      </c>
      <c r="R230" s="26" t="s">
        <v>2765</v>
      </c>
      <c r="S230" s="26" t="s">
        <v>2764</v>
      </c>
      <c r="T230" s="26" t="s">
        <v>2805</v>
      </c>
      <c r="U230" s="26"/>
      <c r="V230" s="27"/>
    </row>
    <row r="231">
      <c r="A231" s="13"/>
      <c r="B231" s="13" t="s">
        <v>3183</v>
      </c>
      <c r="C231" s="71" t="s">
        <v>1246</v>
      </c>
      <c r="D231" s="71" t="s">
        <v>1225</v>
      </c>
      <c r="E231" s="70"/>
      <c r="F231" s="71" t="s">
        <v>1247</v>
      </c>
      <c r="G231" s="10" t="s">
        <v>3184</v>
      </c>
      <c r="H231" s="11" t="s">
        <v>69</v>
      </c>
      <c r="I231" s="10">
        <f t="shared" si="1"/>
        <v>264</v>
      </c>
      <c r="J231" s="12">
        <v>46386.0</v>
      </c>
      <c r="K231" s="16">
        <v>42830.0</v>
      </c>
      <c r="L231" s="11" t="s">
        <v>86</v>
      </c>
      <c r="M231" s="10" t="s">
        <v>3185</v>
      </c>
      <c r="N231" s="10" t="s">
        <v>3186</v>
      </c>
      <c r="O231" s="94" t="s">
        <v>3187</v>
      </c>
      <c r="P231" s="15" t="s">
        <v>3188</v>
      </c>
      <c r="Q231" s="26" t="s">
        <v>1105</v>
      </c>
      <c r="R231" s="26" t="s">
        <v>2660</v>
      </c>
      <c r="S231" s="26" t="s">
        <v>3189</v>
      </c>
      <c r="T231" s="26">
        <v>3.85917870286E11</v>
      </c>
      <c r="U231" s="26">
        <v>6.013025769E10</v>
      </c>
      <c r="V231" s="27" t="s">
        <v>3190</v>
      </c>
      <c r="W231" s="11" t="s">
        <v>285</v>
      </c>
      <c r="X231" s="11" t="s">
        <v>3191</v>
      </c>
      <c r="Y231" s="11" t="s">
        <v>3192</v>
      </c>
      <c r="Z231" s="11">
        <v>3.85912513269E11</v>
      </c>
      <c r="AA231" s="11">
        <v>5.1153104E7</v>
      </c>
      <c r="AB231" s="11" t="s">
        <v>3193</v>
      </c>
    </row>
    <row r="232">
      <c r="A232" s="13"/>
      <c r="B232" s="13" t="s">
        <v>3194</v>
      </c>
      <c r="C232" s="70"/>
      <c r="D232" s="70"/>
      <c r="E232" s="70"/>
      <c r="F232" s="70"/>
      <c r="G232" s="10" t="s">
        <v>3195</v>
      </c>
      <c r="H232" s="11" t="s">
        <v>28</v>
      </c>
      <c r="I232" s="10">
        <f t="shared" si="1"/>
        <v>-178</v>
      </c>
      <c r="J232" s="12">
        <v>45944.0</v>
      </c>
      <c r="K232" s="16">
        <v>42821.0</v>
      </c>
      <c r="L232" s="11" t="s">
        <v>29</v>
      </c>
      <c r="M232" s="10" t="s">
        <v>3196</v>
      </c>
      <c r="N232" s="10" t="s">
        <v>3197</v>
      </c>
      <c r="O232" s="94" t="s">
        <v>3198</v>
      </c>
      <c r="P232" s="23" t="s">
        <v>3199</v>
      </c>
      <c r="Q232" s="26" t="s">
        <v>569</v>
      </c>
      <c r="R232" s="26" t="s">
        <v>3200</v>
      </c>
      <c r="S232" s="26" t="s">
        <v>3201</v>
      </c>
      <c r="T232" s="26">
        <v>9.8516502E7</v>
      </c>
      <c r="U232" s="26">
        <v>4.5806192217E10</v>
      </c>
      <c r="V232" s="27" t="s">
        <v>3202</v>
      </c>
      <c r="W232" s="11" t="s">
        <v>3203</v>
      </c>
      <c r="X232" s="11" t="s">
        <v>3200</v>
      </c>
      <c r="Y232" s="11" t="s">
        <v>3196</v>
      </c>
      <c r="Z232" s="11" t="s">
        <v>3204</v>
      </c>
      <c r="AA232" s="11">
        <v>6.1018465148E10</v>
      </c>
      <c r="AB232" s="11" t="s">
        <v>3205</v>
      </c>
    </row>
    <row r="233">
      <c r="A233" s="9" t="s">
        <v>3206</v>
      </c>
      <c r="B233" s="9" t="s">
        <v>3207</v>
      </c>
      <c r="C233" s="71" t="s">
        <v>1246</v>
      </c>
      <c r="D233" s="71" t="s">
        <v>1225</v>
      </c>
      <c r="E233" s="70"/>
      <c r="F233" s="71" t="s">
        <v>1247</v>
      </c>
      <c r="G233" s="20" t="s">
        <v>2047</v>
      </c>
      <c r="H233" s="11" t="s">
        <v>28</v>
      </c>
      <c r="I233" s="10">
        <f t="shared" si="1"/>
        <v>506</v>
      </c>
      <c r="J233" s="16">
        <v>46628.0</v>
      </c>
      <c r="K233" s="16">
        <v>42812.0</v>
      </c>
      <c r="L233" s="11" t="s">
        <v>86</v>
      </c>
      <c r="M233" s="10" t="s">
        <v>3208</v>
      </c>
      <c r="N233" s="10" t="s">
        <v>3209</v>
      </c>
      <c r="O233" s="94" t="s">
        <v>3210</v>
      </c>
      <c r="P233" s="23" t="s">
        <v>3211</v>
      </c>
      <c r="Q233" s="26" t="s">
        <v>3212</v>
      </c>
      <c r="R233" s="26" t="s">
        <v>3213</v>
      </c>
      <c r="S233" s="26" t="s">
        <v>3214</v>
      </c>
      <c r="T233" s="11" t="s">
        <v>3215</v>
      </c>
      <c r="U233" s="78"/>
      <c r="V233" s="79"/>
      <c r="W233" s="11" t="s">
        <v>3216</v>
      </c>
      <c r="X233" s="11"/>
      <c r="Y233" s="11" t="s">
        <v>3216</v>
      </c>
      <c r="AI233" s="34"/>
    </row>
    <row r="234">
      <c r="A234" s="13"/>
      <c r="B234" s="13" t="s">
        <v>3217</v>
      </c>
      <c r="C234" s="71" t="s">
        <v>1235</v>
      </c>
      <c r="D234" s="71" t="s">
        <v>1225</v>
      </c>
      <c r="E234" s="70"/>
      <c r="F234" s="71" t="s">
        <v>1247</v>
      </c>
      <c r="G234" s="10" t="s">
        <v>3218</v>
      </c>
      <c r="H234" s="11" t="s">
        <v>28</v>
      </c>
      <c r="I234" s="10">
        <f t="shared" si="1"/>
        <v>298</v>
      </c>
      <c r="J234" s="16">
        <v>46420.0</v>
      </c>
      <c r="K234" s="16">
        <v>42768.0</v>
      </c>
      <c r="L234" s="11" t="s">
        <v>86</v>
      </c>
      <c r="M234" s="10" t="s">
        <v>3219</v>
      </c>
      <c r="N234" s="10" t="s">
        <v>3220</v>
      </c>
      <c r="O234" s="94" t="s">
        <v>3221</v>
      </c>
      <c r="P234" s="23" t="s">
        <v>3222</v>
      </c>
      <c r="Q234" s="26" t="s">
        <v>3223</v>
      </c>
      <c r="R234" s="26" t="s">
        <v>3224</v>
      </c>
      <c r="S234" s="26" t="s">
        <v>3219</v>
      </c>
      <c r="T234" s="26">
        <v>9.91981524E8</v>
      </c>
      <c r="U234" s="26">
        <v>8.05005545E9</v>
      </c>
      <c r="V234" s="52">
        <v>27228.0</v>
      </c>
    </row>
    <row r="235">
      <c r="A235" s="13"/>
      <c r="B235" s="13" t="s">
        <v>3225</v>
      </c>
      <c r="C235" s="70"/>
      <c r="D235" s="70"/>
      <c r="E235" s="70"/>
      <c r="F235" s="71" t="s">
        <v>1247</v>
      </c>
      <c r="G235" s="10" t="s">
        <v>3226</v>
      </c>
      <c r="H235" s="11" t="s">
        <v>28</v>
      </c>
      <c r="I235" s="10">
        <f t="shared" si="1"/>
        <v>-187</v>
      </c>
      <c r="J235" s="16">
        <v>45935.0</v>
      </c>
      <c r="K235" s="16">
        <v>42767.0</v>
      </c>
      <c r="L235" s="11" t="s">
        <v>29</v>
      </c>
      <c r="M235" s="10" t="s">
        <v>3227</v>
      </c>
      <c r="N235" s="10" t="s">
        <v>3228</v>
      </c>
      <c r="O235" s="94" t="s">
        <v>3229</v>
      </c>
      <c r="P235" s="23" t="s">
        <v>3230</v>
      </c>
      <c r="Q235" s="26" t="s">
        <v>781</v>
      </c>
      <c r="R235" s="26" t="s">
        <v>3231</v>
      </c>
      <c r="S235" s="26" t="s">
        <v>3232</v>
      </c>
      <c r="T235" s="26" t="s">
        <v>3228</v>
      </c>
      <c r="U235" s="26">
        <v>4.7304563411E10</v>
      </c>
      <c r="V235" s="27" t="s">
        <v>3233</v>
      </c>
    </row>
    <row r="236">
      <c r="A236" s="9" t="s">
        <v>3041</v>
      </c>
      <c r="B236" s="13" t="s">
        <v>3234</v>
      </c>
      <c r="C236" s="71" t="s">
        <v>1246</v>
      </c>
      <c r="D236" s="71" t="s">
        <v>1225</v>
      </c>
      <c r="E236" s="70"/>
      <c r="F236" s="71" t="s">
        <v>1247</v>
      </c>
      <c r="G236" s="10" t="s">
        <v>3235</v>
      </c>
      <c r="H236" s="11" t="s">
        <v>28</v>
      </c>
      <c r="I236" s="10">
        <f t="shared" si="1"/>
        <v>282</v>
      </c>
      <c r="J236" s="16">
        <v>46404.0</v>
      </c>
      <c r="K236" s="12">
        <v>42731.0</v>
      </c>
      <c r="L236" s="11" t="s">
        <v>86</v>
      </c>
      <c r="M236" s="10" t="s">
        <v>3236</v>
      </c>
      <c r="N236" s="10" t="s">
        <v>3237</v>
      </c>
      <c r="O236" s="94" t="s">
        <v>3238</v>
      </c>
      <c r="P236" s="23" t="s">
        <v>3239</v>
      </c>
      <c r="Q236" s="26" t="s">
        <v>349</v>
      </c>
      <c r="R236" s="26" t="s">
        <v>3240</v>
      </c>
      <c r="S236" s="26" t="s">
        <v>3241</v>
      </c>
      <c r="T236" s="26" t="s">
        <v>3237</v>
      </c>
      <c r="U236" s="26">
        <v>1.452164242E10</v>
      </c>
      <c r="V236" s="27" t="s">
        <v>3242</v>
      </c>
    </row>
    <row r="237">
      <c r="A237" s="9"/>
      <c r="B237" s="13" t="s">
        <v>3243</v>
      </c>
      <c r="C237" s="85"/>
      <c r="D237" s="85"/>
      <c r="E237" s="85"/>
      <c r="F237" s="85"/>
      <c r="G237" s="20" t="s">
        <v>3244</v>
      </c>
      <c r="H237" s="11" t="s">
        <v>69</v>
      </c>
      <c r="I237" s="10">
        <f t="shared" si="1"/>
        <v>-907</v>
      </c>
      <c r="J237" s="12">
        <v>45215.0</v>
      </c>
      <c r="K237" s="12">
        <v>42669.0</v>
      </c>
      <c r="L237" s="11" t="s">
        <v>29</v>
      </c>
      <c r="M237" s="10" t="s">
        <v>3245</v>
      </c>
      <c r="N237" s="10" t="s">
        <v>3246</v>
      </c>
      <c r="O237" s="94" t="s">
        <v>3247</v>
      </c>
      <c r="P237" s="15" t="s">
        <v>3248</v>
      </c>
      <c r="Q237" s="26" t="s">
        <v>285</v>
      </c>
      <c r="R237" s="26" t="s">
        <v>3249</v>
      </c>
      <c r="S237" s="26" t="s">
        <v>3250</v>
      </c>
      <c r="T237" s="26" t="s">
        <v>3251</v>
      </c>
      <c r="U237" s="78"/>
      <c r="V237" s="79"/>
    </row>
    <row r="238">
      <c r="A238" s="9" t="s">
        <v>3252</v>
      </c>
      <c r="B238" s="13" t="s">
        <v>3253</v>
      </c>
      <c r="C238" s="71" t="s">
        <v>1246</v>
      </c>
      <c r="D238" s="71" t="s">
        <v>1225</v>
      </c>
      <c r="E238" s="70"/>
      <c r="F238" s="71" t="s">
        <v>1247</v>
      </c>
      <c r="G238" s="10" t="s">
        <v>3254</v>
      </c>
      <c r="H238" s="11" t="s">
        <v>28</v>
      </c>
      <c r="I238" s="10">
        <f t="shared" si="1"/>
        <v>529</v>
      </c>
      <c r="J238" s="16">
        <v>46651.0</v>
      </c>
      <c r="K238" s="16">
        <v>42556.0</v>
      </c>
      <c r="L238" s="11" t="s">
        <v>86</v>
      </c>
      <c r="M238" s="10" t="s">
        <v>3255</v>
      </c>
      <c r="N238" s="10" t="s">
        <v>3256</v>
      </c>
      <c r="O238" s="94" t="s">
        <v>3257</v>
      </c>
      <c r="P238" s="23" t="s">
        <v>3258</v>
      </c>
      <c r="Q238" s="26" t="s">
        <v>781</v>
      </c>
      <c r="R238" s="26" t="s">
        <v>3259</v>
      </c>
      <c r="S238" s="26" t="s">
        <v>3260</v>
      </c>
      <c r="T238" s="26" t="s">
        <v>3261</v>
      </c>
      <c r="U238" s="26">
        <v>6.7286188543E10</v>
      </c>
      <c r="V238" s="27" t="s">
        <v>3262</v>
      </c>
      <c r="W238" s="11" t="s">
        <v>3263</v>
      </c>
      <c r="X238" s="11" t="s">
        <v>3264</v>
      </c>
      <c r="Y238" s="11" t="s">
        <v>3265</v>
      </c>
      <c r="Z238" s="11">
        <v>9.55183419E8</v>
      </c>
      <c r="AA238" s="11">
        <v>5.4255931729E10</v>
      </c>
      <c r="AB238" s="16">
        <v>31783.0</v>
      </c>
    </row>
    <row r="239">
      <c r="A239" s="9" t="s">
        <v>3266</v>
      </c>
      <c r="B239" s="13" t="s">
        <v>3267</v>
      </c>
      <c r="C239" s="71" t="s">
        <v>1246</v>
      </c>
      <c r="D239" s="71" t="s">
        <v>1225</v>
      </c>
      <c r="E239" s="70"/>
      <c r="F239" s="71" t="s">
        <v>1247</v>
      </c>
      <c r="G239" s="10" t="s">
        <v>3268</v>
      </c>
      <c r="H239" s="11" t="s">
        <v>28</v>
      </c>
      <c r="I239" s="10">
        <f t="shared" si="1"/>
        <v>511</v>
      </c>
      <c r="J239" s="16">
        <v>46633.0</v>
      </c>
      <c r="K239" s="16">
        <v>42524.0</v>
      </c>
      <c r="L239" s="11" t="s">
        <v>86</v>
      </c>
      <c r="M239" s="10" t="s">
        <v>3269</v>
      </c>
      <c r="N239" s="10" t="s">
        <v>3270</v>
      </c>
      <c r="O239" s="94" t="s">
        <v>3271</v>
      </c>
      <c r="P239" s="23" t="s">
        <v>3272</v>
      </c>
      <c r="Q239" s="26" t="s">
        <v>3026</v>
      </c>
      <c r="R239" s="26" t="s">
        <v>1703</v>
      </c>
      <c r="S239" s="26" t="s">
        <v>3273</v>
      </c>
      <c r="T239" s="26" t="s">
        <v>3274</v>
      </c>
      <c r="U239" s="26">
        <v>3.8810449001E10</v>
      </c>
      <c r="V239" s="27" t="s">
        <v>3275</v>
      </c>
      <c r="W239" s="26" t="s">
        <v>1262</v>
      </c>
      <c r="X239" s="26" t="s">
        <v>3276</v>
      </c>
      <c r="Y239" s="26" t="s">
        <v>3277</v>
      </c>
      <c r="Z239" s="26" t="s">
        <v>3278</v>
      </c>
      <c r="AA239" s="26">
        <v>1.9991263885E10</v>
      </c>
      <c r="AB239" s="77">
        <v>6607371.0</v>
      </c>
    </row>
    <row r="240">
      <c r="A240" s="13"/>
      <c r="B240" s="104" t="s">
        <v>3279</v>
      </c>
      <c r="C240" s="71" t="s">
        <v>1235</v>
      </c>
      <c r="D240" s="71" t="s">
        <v>1225</v>
      </c>
      <c r="E240" s="70"/>
      <c r="F240" s="71" t="s">
        <v>1247</v>
      </c>
      <c r="G240" s="20" t="s">
        <v>3280</v>
      </c>
      <c r="H240" s="11" t="s">
        <v>28</v>
      </c>
      <c r="I240" s="10">
        <f t="shared" si="1"/>
        <v>310</v>
      </c>
      <c r="J240" s="16">
        <v>46432.0</v>
      </c>
      <c r="K240" s="16">
        <v>42471.0</v>
      </c>
      <c r="L240" s="11" t="s">
        <v>86</v>
      </c>
      <c r="M240" s="10" t="s">
        <v>3281</v>
      </c>
      <c r="N240" s="10" t="s">
        <v>3282</v>
      </c>
      <c r="O240" s="94" t="s">
        <v>3283</v>
      </c>
      <c r="P240" s="23" t="s">
        <v>3284</v>
      </c>
      <c r="Q240" s="26" t="s">
        <v>3285</v>
      </c>
      <c r="R240" s="26" t="s">
        <v>3286</v>
      </c>
      <c r="S240" s="26" t="s">
        <v>3287</v>
      </c>
      <c r="T240" s="26" t="s">
        <v>3288</v>
      </c>
      <c r="U240" s="26">
        <v>2.8471820373E10</v>
      </c>
      <c r="V240" s="52">
        <v>29641.0</v>
      </c>
      <c r="W240" s="11" t="s">
        <v>340</v>
      </c>
      <c r="X240" s="11" t="s">
        <v>3289</v>
      </c>
      <c r="Y240" s="11" t="s">
        <v>3290</v>
      </c>
      <c r="Z240" s="11" t="s">
        <v>3291</v>
      </c>
      <c r="AA240" s="11">
        <v>9.3046543072E10</v>
      </c>
      <c r="AB240" s="16">
        <v>31152.0</v>
      </c>
    </row>
    <row r="241">
      <c r="A241" s="9" t="s">
        <v>3292</v>
      </c>
      <c r="B241" s="13" t="s">
        <v>1331</v>
      </c>
      <c r="C241" s="85"/>
      <c r="D241" s="85"/>
      <c r="E241" s="85"/>
      <c r="F241" s="85"/>
      <c r="G241" s="20" t="s">
        <v>3293</v>
      </c>
      <c r="H241" s="11" t="s">
        <v>28</v>
      </c>
      <c r="I241" s="10">
        <f t="shared" si="1"/>
        <v>-832</v>
      </c>
      <c r="J241" s="12">
        <v>45290.0</v>
      </c>
      <c r="K241" s="16">
        <v>42445.0</v>
      </c>
      <c r="L241" s="11" t="s">
        <v>2178</v>
      </c>
      <c r="M241" s="10" t="s">
        <v>1333</v>
      </c>
      <c r="N241" s="10" t="s">
        <v>3294</v>
      </c>
      <c r="O241" s="10" t="s">
        <v>1334</v>
      </c>
      <c r="P241" s="23" t="s">
        <v>3295</v>
      </c>
      <c r="Q241" s="26" t="s">
        <v>3026</v>
      </c>
      <c r="R241" s="26" t="s">
        <v>3296</v>
      </c>
      <c r="S241" s="26" t="s">
        <v>3297</v>
      </c>
      <c r="T241" s="26" t="s">
        <v>3294</v>
      </c>
      <c r="U241" s="78"/>
      <c r="V241" s="79"/>
    </row>
    <row r="242">
      <c r="A242" s="9" t="s">
        <v>3298</v>
      </c>
      <c r="B242" s="13" t="s">
        <v>3299</v>
      </c>
      <c r="C242" s="71" t="s">
        <v>1224</v>
      </c>
      <c r="D242" s="71" t="s">
        <v>1225</v>
      </c>
      <c r="E242" s="70"/>
      <c r="F242" s="71" t="s">
        <v>1247</v>
      </c>
      <c r="G242" s="10" t="s">
        <v>3300</v>
      </c>
      <c r="H242" s="11" t="s">
        <v>28</v>
      </c>
      <c r="I242" s="10">
        <f t="shared" si="1"/>
        <v>273</v>
      </c>
      <c r="J242" s="16">
        <v>46395.0</v>
      </c>
      <c r="K242" s="16">
        <v>42429.0</v>
      </c>
      <c r="L242" s="11" t="s">
        <v>86</v>
      </c>
      <c r="M242" s="10" t="s">
        <v>3301</v>
      </c>
      <c r="N242" s="10" t="s">
        <v>3302</v>
      </c>
      <c r="O242" s="94" t="s">
        <v>3303</v>
      </c>
      <c r="P242" s="23" t="s">
        <v>3304</v>
      </c>
      <c r="Q242" s="26" t="s">
        <v>3305</v>
      </c>
      <c r="R242" s="26" t="s">
        <v>3306</v>
      </c>
      <c r="S242" s="26" t="s">
        <v>3307</v>
      </c>
      <c r="T242" s="26"/>
      <c r="U242" s="26"/>
      <c r="V242" s="52"/>
    </row>
    <row r="243">
      <c r="A243" s="13"/>
      <c r="B243" s="9" t="s">
        <v>3308</v>
      </c>
      <c r="C243" s="70"/>
      <c r="D243" s="70"/>
      <c r="E243" s="70"/>
      <c r="F243" s="70"/>
      <c r="G243" s="20" t="s">
        <v>3309</v>
      </c>
      <c r="H243" s="11" t="s">
        <v>28</v>
      </c>
      <c r="I243" s="10">
        <f t="shared" si="1"/>
        <v>348</v>
      </c>
      <c r="J243" s="16">
        <v>46470.0</v>
      </c>
      <c r="K243" s="16">
        <v>46105.0</v>
      </c>
      <c r="L243" s="11" t="s">
        <v>86</v>
      </c>
      <c r="M243" s="11" t="s">
        <v>3310</v>
      </c>
      <c r="N243" s="11">
        <v>9.8214028E7</v>
      </c>
      <c r="O243" s="58" t="s">
        <v>3311</v>
      </c>
      <c r="P243" s="15" t="s">
        <v>3312</v>
      </c>
      <c r="Q243" s="26" t="s">
        <v>1198</v>
      </c>
      <c r="R243" s="26" t="s">
        <v>3313</v>
      </c>
      <c r="S243" s="26" t="s">
        <v>3314</v>
      </c>
      <c r="T243" s="26">
        <v>9.8214028E7</v>
      </c>
      <c r="U243" s="26">
        <v>3.4720140359E10</v>
      </c>
      <c r="V243" s="52">
        <v>32960.0</v>
      </c>
    </row>
    <row r="244">
      <c r="A244" s="13"/>
      <c r="B244" s="13"/>
      <c r="C244" s="70"/>
      <c r="D244" s="70"/>
      <c r="E244" s="70"/>
      <c r="F244" s="70"/>
      <c r="H244" s="10"/>
      <c r="I244" s="105">
        <f t="shared" si="1"/>
        <v>-46122</v>
      </c>
      <c r="L244" s="11" t="s">
        <v>86</v>
      </c>
      <c r="O244" s="94"/>
      <c r="P244" s="23"/>
      <c r="Q244" s="78"/>
      <c r="R244" s="78"/>
      <c r="S244" s="78"/>
      <c r="T244" s="78"/>
      <c r="U244" s="78"/>
      <c r="V244" s="79"/>
    </row>
    <row r="245">
      <c r="A245" s="13"/>
      <c r="B245" s="13"/>
      <c r="C245" s="70"/>
      <c r="D245" s="70"/>
      <c r="E245" s="70"/>
      <c r="F245" s="70"/>
      <c r="H245" s="10"/>
      <c r="I245" s="105">
        <f t="shared" si="1"/>
        <v>-46122</v>
      </c>
      <c r="L245" s="11" t="s">
        <v>86</v>
      </c>
      <c r="O245" s="94"/>
      <c r="P245" s="23"/>
      <c r="Q245" s="78"/>
      <c r="R245" s="78"/>
      <c r="S245" s="78"/>
      <c r="T245" s="78"/>
      <c r="U245" s="78"/>
      <c r="V245" s="79"/>
    </row>
    <row r="246">
      <c r="A246" s="13"/>
      <c r="B246" s="13"/>
      <c r="C246" s="70"/>
      <c r="D246" s="70"/>
      <c r="E246" s="70"/>
      <c r="F246" s="70"/>
      <c r="H246" s="10"/>
      <c r="I246" s="105">
        <f t="shared" si="1"/>
        <v>-46122</v>
      </c>
      <c r="L246" s="11" t="s">
        <v>86</v>
      </c>
      <c r="O246" s="94"/>
      <c r="P246" s="23"/>
      <c r="Q246" s="78"/>
      <c r="R246" s="78"/>
      <c r="S246" s="78"/>
      <c r="T246" s="78"/>
      <c r="U246" s="78"/>
      <c r="V246" s="79"/>
    </row>
    <row r="247">
      <c r="A247" s="13"/>
      <c r="B247" s="13"/>
      <c r="C247" s="70"/>
      <c r="D247" s="70"/>
      <c r="E247" s="70"/>
      <c r="F247" s="70"/>
      <c r="H247" s="10"/>
      <c r="I247" s="105">
        <f t="shared" si="1"/>
        <v>-46122</v>
      </c>
      <c r="L247" s="11" t="s">
        <v>86</v>
      </c>
      <c r="O247" s="94"/>
      <c r="P247" s="23"/>
      <c r="Q247" s="78"/>
      <c r="R247" s="78"/>
      <c r="S247" s="78"/>
      <c r="T247" s="78"/>
      <c r="U247" s="78"/>
      <c r="V247" s="79"/>
    </row>
    <row r="248">
      <c r="A248" s="13"/>
      <c r="B248" s="13"/>
      <c r="C248" s="70"/>
      <c r="D248" s="70"/>
      <c r="E248" s="70"/>
      <c r="F248" s="70"/>
      <c r="H248" s="10"/>
      <c r="I248" s="105">
        <f t="shared" si="1"/>
        <v>-46122</v>
      </c>
      <c r="L248" s="11" t="s">
        <v>86</v>
      </c>
      <c r="O248" s="94"/>
      <c r="P248" s="23"/>
      <c r="Q248" s="78"/>
      <c r="R248" s="78"/>
      <c r="S248" s="78"/>
      <c r="T248" s="78"/>
      <c r="U248" s="78"/>
      <c r="V248" s="79"/>
    </row>
    <row r="249">
      <c r="A249" s="13"/>
      <c r="B249" s="13"/>
      <c r="C249" s="70"/>
      <c r="D249" s="70"/>
      <c r="E249" s="70"/>
      <c r="F249" s="70"/>
      <c r="H249" s="10"/>
      <c r="I249" s="105">
        <f t="shared" si="1"/>
        <v>-46122</v>
      </c>
      <c r="L249" s="11" t="s">
        <v>86</v>
      </c>
      <c r="O249" s="94"/>
      <c r="P249" s="23"/>
      <c r="Q249" s="78"/>
      <c r="R249" s="78"/>
      <c r="S249" s="78"/>
      <c r="T249" s="78"/>
      <c r="U249" s="78"/>
      <c r="V249" s="79"/>
    </row>
    <row r="250">
      <c r="A250" s="13"/>
      <c r="B250" s="13"/>
      <c r="C250" s="70"/>
      <c r="D250" s="70"/>
      <c r="E250" s="70"/>
      <c r="F250" s="70"/>
      <c r="H250" s="10"/>
      <c r="I250" s="105">
        <f t="shared" si="1"/>
        <v>-46122</v>
      </c>
      <c r="L250" s="11" t="s">
        <v>86</v>
      </c>
      <c r="O250" s="94"/>
      <c r="P250" s="23"/>
      <c r="Q250" s="78"/>
      <c r="R250" s="78"/>
      <c r="S250" s="78"/>
      <c r="T250" s="78"/>
      <c r="U250" s="78"/>
      <c r="V250" s="79"/>
    </row>
    <row r="251">
      <c r="A251" s="13"/>
      <c r="B251" s="13"/>
      <c r="C251" s="70"/>
      <c r="D251" s="70"/>
      <c r="E251" s="70"/>
      <c r="F251" s="70"/>
      <c r="H251" s="10"/>
      <c r="I251" s="105">
        <f t="shared" si="1"/>
        <v>-46122</v>
      </c>
      <c r="L251" s="11" t="s">
        <v>86</v>
      </c>
      <c r="O251" s="94"/>
      <c r="P251" s="23"/>
      <c r="Q251" s="78"/>
      <c r="R251" s="78"/>
      <c r="S251" s="78"/>
      <c r="T251" s="78"/>
      <c r="U251" s="78"/>
      <c r="V251" s="79"/>
    </row>
    <row r="252">
      <c r="A252" s="13"/>
      <c r="B252" s="13"/>
      <c r="C252" s="70"/>
      <c r="D252" s="70"/>
      <c r="E252" s="70"/>
      <c r="F252" s="70"/>
      <c r="H252" s="10"/>
      <c r="I252" s="105">
        <f t="shared" si="1"/>
        <v>-46122</v>
      </c>
      <c r="L252" s="11" t="s">
        <v>86</v>
      </c>
      <c r="O252" s="94"/>
      <c r="P252" s="23"/>
      <c r="Q252" s="78"/>
      <c r="R252" s="78"/>
      <c r="S252" s="78"/>
      <c r="T252" s="78"/>
      <c r="U252" s="78"/>
      <c r="V252" s="79"/>
    </row>
    <row r="253">
      <c r="A253" s="13"/>
      <c r="B253" s="13"/>
      <c r="C253" s="70"/>
      <c r="D253" s="70"/>
      <c r="E253" s="70"/>
      <c r="F253" s="70"/>
      <c r="H253" s="10"/>
      <c r="I253" s="105">
        <f t="shared" si="1"/>
        <v>-46122</v>
      </c>
      <c r="L253" s="11" t="s">
        <v>86</v>
      </c>
      <c r="O253" s="94"/>
      <c r="P253" s="23"/>
      <c r="Q253" s="78"/>
      <c r="R253" s="78"/>
      <c r="S253" s="78"/>
      <c r="T253" s="78"/>
      <c r="U253" s="78"/>
      <c r="V253" s="79"/>
    </row>
    <row r="254">
      <c r="A254" s="13"/>
      <c r="B254" s="13"/>
      <c r="C254" s="70"/>
      <c r="D254" s="70"/>
      <c r="E254" s="70"/>
      <c r="F254" s="70"/>
      <c r="H254" s="10"/>
      <c r="I254" s="105">
        <f t="shared" si="1"/>
        <v>-46122</v>
      </c>
      <c r="L254" s="11" t="s">
        <v>86</v>
      </c>
      <c r="O254" s="94"/>
      <c r="P254" s="23"/>
      <c r="Q254" s="78"/>
      <c r="R254" s="78"/>
      <c r="S254" s="78"/>
      <c r="T254" s="78"/>
      <c r="U254" s="78"/>
      <c r="V254" s="79"/>
    </row>
    <row r="255">
      <c r="A255" s="13"/>
      <c r="B255" s="13"/>
      <c r="C255" s="70"/>
      <c r="D255" s="70"/>
      <c r="E255" s="70"/>
      <c r="F255" s="70"/>
      <c r="H255" s="10"/>
      <c r="I255" s="105">
        <f t="shared" si="1"/>
        <v>-46122</v>
      </c>
      <c r="L255" s="11" t="s">
        <v>86</v>
      </c>
      <c r="O255" s="94"/>
      <c r="P255" s="23"/>
      <c r="Q255" s="78"/>
      <c r="R255" s="78"/>
      <c r="S255" s="78"/>
      <c r="T255" s="78"/>
      <c r="U255" s="78"/>
      <c r="V255" s="79"/>
    </row>
    <row r="256">
      <c r="A256" s="13"/>
      <c r="B256" s="13"/>
      <c r="C256" s="70"/>
      <c r="D256" s="70"/>
      <c r="E256" s="70"/>
      <c r="F256" s="70"/>
      <c r="H256" s="10"/>
      <c r="I256" s="105">
        <f t="shared" si="1"/>
        <v>-46122</v>
      </c>
      <c r="L256" s="11" t="s">
        <v>86</v>
      </c>
      <c r="O256" s="94"/>
      <c r="P256" s="23"/>
      <c r="Q256" s="78"/>
      <c r="R256" s="78"/>
      <c r="S256" s="78"/>
      <c r="T256" s="78"/>
      <c r="U256" s="78"/>
      <c r="V256" s="79"/>
    </row>
    <row r="257">
      <c r="A257" s="13"/>
      <c r="B257" s="13"/>
      <c r="C257" s="70"/>
      <c r="D257" s="70"/>
      <c r="E257" s="70"/>
      <c r="F257" s="70"/>
      <c r="H257" s="10"/>
      <c r="I257" s="105">
        <f t="shared" si="1"/>
        <v>-46122</v>
      </c>
      <c r="L257" s="11" t="s">
        <v>86</v>
      </c>
      <c r="O257" s="94"/>
      <c r="P257" s="23"/>
      <c r="Q257" s="78"/>
      <c r="R257" s="78"/>
      <c r="S257" s="78"/>
      <c r="T257" s="78"/>
      <c r="U257" s="78"/>
      <c r="V257" s="79"/>
    </row>
    <row r="258">
      <c r="A258" s="13"/>
      <c r="B258" s="13"/>
      <c r="C258" s="70"/>
      <c r="D258" s="70"/>
      <c r="E258" s="70"/>
      <c r="F258" s="70"/>
      <c r="H258" s="10"/>
      <c r="I258" s="105">
        <f t="shared" si="1"/>
        <v>-46122</v>
      </c>
      <c r="L258" s="11" t="s">
        <v>86</v>
      </c>
      <c r="O258" s="94"/>
      <c r="P258" s="23"/>
      <c r="Q258" s="78"/>
      <c r="R258" s="78"/>
      <c r="S258" s="78"/>
      <c r="T258" s="78"/>
      <c r="U258" s="78"/>
      <c r="V258" s="79"/>
    </row>
    <row r="259">
      <c r="A259" s="13"/>
      <c r="B259" s="13"/>
      <c r="C259" s="70"/>
      <c r="D259" s="70"/>
      <c r="E259" s="70"/>
      <c r="F259" s="70"/>
      <c r="H259" s="10"/>
      <c r="I259" s="105">
        <f t="shared" si="1"/>
        <v>-46122</v>
      </c>
      <c r="L259" s="11" t="s">
        <v>86</v>
      </c>
      <c r="O259" s="94"/>
      <c r="P259" s="23"/>
      <c r="Q259" s="78"/>
      <c r="R259" s="78"/>
      <c r="S259" s="78"/>
      <c r="T259" s="78"/>
      <c r="U259" s="78"/>
      <c r="V259" s="79"/>
    </row>
    <row r="260">
      <c r="A260" s="13"/>
      <c r="B260" s="13"/>
      <c r="C260" s="70"/>
      <c r="D260" s="70"/>
      <c r="E260" s="70"/>
      <c r="F260" s="70"/>
      <c r="H260" s="10"/>
      <c r="I260" s="105">
        <f t="shared" si="1"/>
        <v>-46122</v>
      </c>
      <c r="L260" s="11" t="s">
        <v>86</v>
      </c>
      <c r="O260" s="94"/>
      <c r="P260" s="23"/>
      <c r="Q260" s="78"/>
      <c r="R260" s="78"/>
      <c r="S260" s="78"/>
      <c r="T260" s="78"/>
      <c r="U260" s="78"/>
      <c r="V260" s="79"/>
    </row>
    <row r="261">
      <c r="A261" s="13"/>
      <c r="B261" s="13"/>
      <c r="C261" s="70"/>
      <c r="D261" s="70"/>
      <c r="E261" s="70"/>
      <c r="F261" s="70"/>
      <c r="H261" s="10"/>
      <c r="I261" s="105">
        <f t="shared" si="1"/>
        <v>-46122</v>
      </c>
      <c r="L261" s="11" t="s">
        <v>86</v>
      </c>
      <c r="O261" s="94"/>
      <c r="P261" s="23"/>
      <c r="Q261" s="78"/>
      <c r="R261" s="78"/>
      <c r="S261" s="78"/>
      <c r="T261" s="78"/>
      <c r="U261" s="78"/>
      <c r="V261" s="79"/>
    </row>
    <row r="262">
      <c r="A262" s="13"/>
      <c r="B262" s="13"/>
      <c r="C262" s="70"/>
      <c r="D262" s="70"/>
      <c r="E262" s="70"/>
      <c r="F262" s="70"/>
      <c r="H262" s="10"/>
      <c r="I262" s="105">
        <f t="shared" si="1"/>
        <v>-46122</v>
      </c>
      <c r="L262" s="11" t="s">
        <v>86</v>
      </c>
      <c r="O262" s="94"/>
      <c r="P262" s="23"/>
      <c r="Q262" s="78"/>
      <c r="R262" s="78"/>
      <c r="S262" s="78"/>
      <c r="T262" s="78"/>
      <c r="U262" s="78"/>
      <c r="V262" s="79"/>
    </row>
    <row r="263">
      <c r="A263" s="13"/>
      <c r="B263" s="13"/>
      <c r="C263" s="70"/>
      <c r="D263" s="70"/>
      <c r="E263" s="70"/>
      <c r="F263" s="70"/>
      <c r="H263" s="10"/>
      <c r="I263" s="105">
        <f t="shared" si="1"/>
        <v>-46122</v>
      </c>
      <c r="L263" s="11" t="s">
        <v>86</v>
      </c>
      <c r="O263" s="94"/>
      <c r="P263" s="23"/>
      <c r="Q263" s="78"/>
      <c r="R263" s="78"/>
      <c r="S263" s="78"/>
      <c r="T263" s="78"/>
      <c r="U263" s="78"/>
      <c r="V263" s="79"/>
    </row>
    <row r="264">
      <c r="A264" s="13"/>
      <c r="B264" s="13"/>
      <c r="C264" s="70"/>
      <c r="D264" s="70"/>
      <c r="E264" s="70"/>
      <c r="F264" s="70"/>
      <c r="O264" s="94"/>
      <c r="P264" s="23"/>
      <c r="Q264" s="78"/>
      <c r="R264" s="78"/>
      <c r="S264" s="78"/>
      <c r="T264" s="78"/>
      <c r="U264" s="78"/>
      <c r="V264" s="79"/>
    </row>
    <row r="265">
      <c r="A265" s="13"/>
      <c r="B265" s="13"/>
      <c r="C265" s="70"/>
      <c r="D265" s="70"/>
      <c r="E265" s="70"/>
      <c r="F265" s="70"/>
      <c r="O265" s="94"/>
      <c r="P265" s="23"/>
      <c r="Q265" s="78"/>
      <c r="R265" s="78"/>
      <c r="S265" s="78"/>
      <c r="T265" s="78"/>
      <c r="U265" s="78"/>
      <c r="V265" s="79"/>
    </row>
    <row r="266">
      <c r="A266" s="13"/>
      <c r="B266" s="13"/>
      <c r="C266" s="70"/>
      <c r="D266" s="70"/>
      <c r="E266" s="70"/>
      <c r="F266" s="70"/>
      <c r="O266" s="94"/>
      <c r="P266" s="23"/>
      <c r="Q266" s="78"/>
      <c r="R266" s="78"/>
      <c r="S266" s="78"/>
      <c r="T266" s="78"/>
      <c r="U266" s="78"/>
      <c r="V266" s="79"/>
    </row>
    <row r="267">
      <c r="A267" s="13"/>
      <c r="B267" s="13"/>
      <c r="C267" s="70"/>
      <c r="D267" s="70"/>
      <c r="E267" s="70"/>
      <c r="F267" s="70"/>
      <c r="O267" s="94"/>
      <c r="P267" s="23"/>
      <c r="Q267" s="78"/>
      <c r="R267" s="78"/>
      <c r="S267" s="78"/>
      <c r="T267" s="78"/>
      <c r="U267" s="78"/>
      <c r="V267" s="79"/>
    </row>
    <row r="268">
      <c r="A268" s="13"/>
      <c r="B268" s="13"/>
      <c r="C268" s="70"/>
      <c r="D268" s="70"/>
      <c r="E268" s="70"/>
      <c r="F268" s="70"/>
      <c r="O268" s="94"/>
      <c r="P268" s="23"/>
      <c r="Q268" s="78"/>
      <c r="R268" s="78"/>
      <c r="S268" s="78"/>
      <c r="T268" s="78"/>
      <c r="U268" s="78"/>
      <c r="V268" s="79"/>
    </row>
    <row r="269">
      <c r="A269" s="13"/>
      <c r="B269" s="13"/>
      <c r="C269" s="70"/>
      <c r="D269" s="70"/>
      <c r="E269" s="70"/>
      <c r="F269" s="70"/>
      <c r="O269" s="94"/>
      <c r="P269" s="23"/>
      <c r="Q269" s="78"/>
      <c r="R269" s="78"/>
      <c r="S269" s="78"/>
      <c r="T269" s="78"/>
      <c r="U269" s="78"/>
      <c r="V269" s="79"/>
    </row>
    <row r="270">
      <c r="A270" s="13"/>
      <c r="B270" s="13"/>
      <c r="C270" s="70"/>
      <c r="D270" s="70"/>
      <c r="E270" s="70"/>
      <c r="F270" s="70"/>
      <c r="O270" s="94"/>
      <c r="P270" s="23"/>
      <c r="Q270" s="78"/>
      <c r="R270" s="78"/>
      <c r="S270" s="78"/>
      <c r="T270" s="78"/>
      <c r="U270" s="78"/>
      <c r="V270" s="79"/>
    </row>
    <row r="271">
      <c r="A271" s="13"/>
      <c r="B271" s="13"/>
      <c r="C271" s="70"/>
      <c r="D271" s="70"/>
      <c r="E271" s="70"/>
      <c r="F271" s="70"/>
      <c r="O271" s="94"/>
      <c r="P271" s="23"/>
      <c r="Q271" s="78"/>
      <c r="R271" s="78"/>
      <c r="S271" s="78"/>
      <c r="T271" s="78"/>
      <c r="U271" s="78"/>
      <c r="V271" s="79"/>
    </row>
    <row r="272">
      <c r="A272" s="13"/>
      <c r="B272" s="13"/>
      <c r="C272" s="70"/>
      <c r="D272" s="70"/>
      <c r="E272" s="70"/>
      <c r="F272" s="70"/>
      <c r="O272" s="94"/>
      <c r="P272" s="23"/>
      <c r="Q272" s="78"/>
      <c r="R272" s="78"/>
      <c r="S272" s="78"/>
      <c r="T272" s="78"/>
      <c r="U272" s="78"/>
      <c r="V272" s="79"/>
    </row>
    <row r="273">
      <c r="A273" s="13"/>
      <c r="B273" s="13"/>
      <c r="C273" s="70"/>
      <c r="D273" s="70"/>
      <c r="E273" s="70"/>
      <c r="F273" s="70"/>
      <c r="O273" s="94"/>
      <c r="P273" s="23"/>
      <c r="Q273" s="78"/>
      <c r="R273" s="78"/>
      <c r="S273" s="78"/>
      <c r="T273" s="78"/>
      <c r="U273" s="78"/>
      <c r="V273" s="79"/>
    </row>
    <row r="274">
      <c r="A274" s="13"/>
      <c r="B274" s="13"/>
      <c r="C274" s="70"/>
      <c r="D274" s="70"/>
      <c r="E274" s="70"/>
      <c r="F274" s="70"/>
      <c r="O274" s="94"/>
      <c r="P274" s="23"/>
      <c r="Q274" s="78"/>
      <c r="R274" s="78"/>
      <c r="S274" s="78"/>
      <c r="T274" s="78"/>
      <c r="U274" s="78"/>
      <c r="V274" s="79"/>
    </row>
    <row r="275">
      <c r="A275" s="13"/>
      <c r="B275" s="13"/>
      <c r="C275" s="70"/>
      <c r="D275" s="70"/>
      <c r="E275" s="70"/>
      <c r="F275" s="70"/>
      <c r="O275" s="94"/>
      <c r="P275" s="23"/>
      <c r="Q275" s="78"/>
      <c r="R275" s="78"/>
      <c r="S275" s="78"/>
      <c r="T275" s="78"/>
      <c r="U275" s="78"/>
      <c r="V275" s="79"/>
    </row>
    <row r="276">
      <c r="A276" s="13"/>
      <c r="B276" s="13"/>
      <c r="C276" s="70"/>
      <c r="D276" s="70"/>
      <c r="E276" s="70"/>
      <c r="F276" s="70"/>
      <c r="O276" s="94"/>
      <c r="P276" s="23"/>
      <c r="Q276" s="78"/>
      <c r="R276" s="78"/>
      <c r="S276" s="78"/>
      <c r="T276" s="78"/>
      <c r="U276" s="78"/>
      <c r="V276" s="79"/>
    </row>
    <row r="277">
      <c r="A277" s="13"/>
      <c r="B277" s="13"/>
      <c r="C277" s="70"/>
      <c r="D277" s="70"/>
      <c r="E277" s="70"/>
      <c r="F277" s="70"/>
      <c r="O277" s="94"/>
      <c r="P277" s="23"/>
      <c r="Q277" s="78"/>
      <c r="R277" s="78"/>
      <c r="S277" s="78"/>
      <c r="T277" s="78"/>
      <c r="U277" s="78"/>
      <c r="V277" s="79"/>
    </row>
    <row r="278">
      <c r="A278" s="13"/>
      <c r="B278" s="13"/>
      <c r="C278" s="70"/>
      <c r="D278" s="70"/>
      <c r="E278" s="70"/>
      <c r="F278" s="70"/>
      <c r="O278" s="94"/>
      <c r="P278" s="23"/>
      <c r="Q278" s="78"/>
      <c r="R278" s="78"/>
      <c r="S278" s="78"/>
      <c r="T278" s="78"/>
      <c r="U278" s="78"/>
      <c r="V278" s="79"/>
    </row>
    <row r="279">
      <c r="A279" s="13"/>
      <c r="B279" s="13"/>
      <c r="C279" s="70"/>
      <c r="D279" s="70"/>
      <c r="E279" s="70"/>
      <c r="F279" s="70"/>
      <c r="O279" s="94"/>
      <c r="P279" s="23"/>
      <c r="Q279" s="78"/>
      <c r="R279" s="78"/>
      <c r="S279" s="78"/>
      <c r="T279" s="78"/>
      <c r="U279" s="78"/>
      <c r="V279" s="79"/>
    </row>
    <row r="280">
      <c r="A280" s="13"/>
      <c r="B280" s="13"/>
      <c r="C280" s="70"/>
      <c r="D280" s="70"/>
      <c r="E280" s="70"/>
      <c r="F280" s="70"/>
      <c r="O280" s="94"/>
      <c r="P280" s="23"/>
      <c r="Q280" s="78"/>
      <c r="R280" s="78"/>
      <c r="S280" s="78"/>
      <c r="T280" s="78"/>
      <c r="U280" s="78"/>
      <c r="V280" s="79"/>
    </row>
    <row r="281">
      <c r="A281" s="13"/>
      <c r="B281" s="13"/>
      <c r="C281" s="70"/>
      <c r="D281" s="70"/>
      <c r="E281" s="70"/>
      <c r="F281" s="70"/>
      <c r="O281" s="94"/>
      <c r="P281" s="23"/>
      <c r="Q281" s="78"/>
      <c r="R281" s="78"/>
      <c r="S281" s="78"/>
      <c r="T281" s="78"/>
      <c r="U281" s="78"/>
      <c r="V281" s="79"/>
    </row>
    <row r="282">
      <c r="A282" s="13"/>
      <c r="B282" s="13"/>
      <c r="C282" s="70"/>
      <c r="D282" s="70"/>
      <c r="E282" s="70"/>
      <c r="F282" s="70"/>
      <c r="O282" s="94"/>
      <c r="P282" s="23"/>
      <c r="Q282" s="78"/>
      <c r="R282" s="78"/>
      <c r="S282" s="78"/>
      <c r="T282" s="78"/>
      <c r="U282" s="78"/>
      <c r="V282" s="79"/>
    </row>
    <row r="283">
      <c r="A283" s="13"/>
      <c r="B283" s="13"/>
      <c r="C283" s="70"/>
      <c r="D283" s="70"/>
      <c r="E283" s="70"/>
      <c r="F283" s="70"/>
      <c r="O283" s="94"/>
      <c r="P283" s="23"/>
      <c r="Q283" s="78"/>
      <c r="R283" s="78"/>
      <c r="S283" s="78"/>
      <c r="T283" s="78"/>
      <c r="U283" s="78"/>
      <c r="V283" s="79"/>
    </row>
    <row r="284">
      <c r="A284" s="13"/>
      <c r="B284" s="13"/>
      <c r="C284" s="70"/>
      <c r="D284" s="70"/>
      <c r="E284" s="70"/>
      <c r="F284" s="70"/>
      <c r="O284" s="94"/>
      <c r="P284" s="23"/>
      <c r="Q284" s="78"/>
      <c r="R284" s="78"/>
      <c r="S284" s="78"/>
      <c r="T284" s="78"/>
      <c r="U284" s="78"/>
      <c r="V284" s="79"/>
    </row>
    <row r="285">
      <c r="A285" s="13"/>
      <c r="B285" s="13"/>
      <c r="C285" s="70"/>
      <c r="D285" s="70"/>
      <c r="E285" s="70"/>
      <c r="F285" s="70"/>
      <c r="O285" s="94"/>
      <c r="P285" s="23"/>
      <c r="Q285" s="78"/>
      <c r="R285" s="78"/>
      <c r="S285" s="78"/>
      <c r="T285" s="78"/>
      <c r="U285" s="78"/>
      <c r="V285" s="79"/>
    </row>
    <row r="286">
      <c r="A286" s="13"/>
      <c r="B286" s="13"/>
      <c r="C286" s="70"/>
      <c r="D286" s="70"/>
      <c r="E286" s="70"/>
      <c r="F286" s="70"/>
      <c r="O286" s="94"/>
      <c r="P286" s="23"/>
      <c r="Q286" s="78"/>
      <c r="R286" s="78"/>
      <c r="S286" s="78"/>
      <c r="T286" s="78"/>
      <c r="U286" s="78"/>
      <c r="V286" s="79"/>
    </row>
    <row r="287">
      <c r="A287" s="13"/>
      <c r="B287" s="13"/>
      <c r="C287" s="70"/>
      <c r="D287" s="70"/>
      <c r="E287" s="70"/>
      <c r="F287" s="70"/>
      <c r="O287" s="94"/>
      <c r="P287" s="23"/>
      <c r="Q287" s="78"/>
      <c r="R287" s="78"/>
      <c r="S287" s="78"/>
      <c r="T287" s="78"/>
      <c r="U287" s="78"/>
      <c r="V287" s="79"/>
    </row>
    <row r="288">
      <c r="A288" s="13"/>
      <c r="B288" s="13"/>
      <c r="C288" s="70"/>
      <c r="D288" s="70"/>
      <c r="E288" s="70"/>
      <c r="F288" s="70"/>
      <c r="O288" s="94"/>
      <c r="P288" s="23"/>
      <c r="Q288" s="78"/>
      <c r="R288" s="78"/>
      <c r="S288" s="78"/>
      <c r="T288" s="78"/>
      <c r="U288" s="78"/>
      <c r="V288" s="79"/>
    </row>
    <row r="289">
      <c r="A289" s="13"/>
      <c r="B289" s="13"/>
      <c r="C289" s="70"/>
      <c r="D289" s="70"/>
      <c r="E289" s="70"/>
      <c r="F289" s="70"/>
      <c r="O289" s="94"/>
      <c r="P289" s="23"/>
      <c r="Q289" s="78"/>
      <c r="R289" s="78"/>
      <c r="S289" s="78"/>
      <c r="T289" s="78"/>
      <c r="U289" s="78"/>
      <c r="V289" s="79"/>
    </row>
    <row r="290">
      <c r="A290" s="13"/>
      <c r="B290" s="13"/>
      <c r="C290" s="70"/>
      <c r="D290" s="70"/>
      <c r="E290" s="70"/>
      <c r="F290" s="70"/>
      <c r="O290" s="94"/>
      <c r="P290" s="23"/>
      <c r="Q290" s="78"/>
      <c r="R290" s="78"/>
      <c r="S290" s="78"/>
      <c r="T290" s="78"/>
      <c r="U290" s="78"/>
      <c r="V290" s="79"/>
    </row>
    <row r="291">
      <c r="A291" s="13"/>
      <c r="B291" s="13"/>
      <c r="C291" s="70"/>
      <c r="D291" s="70"/>
      <c r="E291" s="70"/>
      <c r="F291" s="70"/>
      <c r="O291" s="94"/>
      <c r="P291" s="23"/>
      <c r="Q291" s="78"/>
      <c r="R291" s="78"/>
      <c r="S291" s="78"/>
      <c r="T291" s="78"/>
      <c r="U291" s="78"/>
      <c r="V291" s="79"/>
    </row>
    <row r="292">
      <c r="A292" s="13"/>
      <c r="B292" s="13"/>
      <c r="C292" s="70"/>
      <c r="D292" s="70"/>
      <c r="E292" s="70"/>
      <c r="F292" s="70"/>
      <c r="O292" s="94"/>
      <c r="P292" s="23"/>
      <c r="Q292" s="78"/>
      <c r="R292" s="78"/>
      <c r="S292" s="78"/>
      <c r="T292" s="78"/>
      <c r="U292" s="78"/>
      <c r="V292" s="79"/>
    </row>
    <row r="293">
      <c r="A293" s="13"/>
      <c r="B293" s="13"/>
      <c r="C293" s="70"/>
      <c r="D293" s="70"/>
      <c r="E293" s="70"/>
      <c r="F293" s="70"/>
      <c r="O293" s="94"/>
      <c r="P293" s="23"/>
      <c r="Q293" s="78"/>
      <c r="R293" s="78"/>
      <c r="S293" s="78"/>
      <c r="T293" s="78"/>
      <c r="U293" s="78"/>
      <c r="V293" s="79"/>
    </row>
    <row r="294">
      <c r="A294" s="13"/>
      <c r="B294" s="13"/>
      <c r="C294" s="70"/>
      <c r="D294" s="70"/>
      <c r="E294" s="70"/>
      <c r="F294" s="70"/>
      <c r="O294" s="94"/>
      <c r="P294" s="23"/>
      <c r="Q294" s="78"/>
      <c r="R294" s="78"/>
      <c r="S294" s="78"/>
      <c r="T294" s="78"/>
      <c r="U294" s="78"/>
      <c r="V294" s="79"/>
    </row>
    <row r="295">
      <c r="A295" s="13"/>
      <c r="B295" s="13"/>
      <c r="C295" s="70"/>
      <c r="D295" s="70"/>
      <c r="E295" s="70"/>
      <c r="F295" s="70"/>
      <c r="O295" s="94"/>
      <c r="P295" s="23"/>
      <c r="Q295" s="78"/>
      <c r="R295" s="78"/>
      <c r="S295" s="78"/>
      <c r="T295" s="78"/>
      <c r="U295" s="78"/>
      <c r="V295" s="79"/>
    </row>
    <row r="296">
      <c r="A296" s="13"/>
      <c r="B296" s="13"/>
      <c r="C296" s="70"/>
      <c r="D296" s="70"/>
      <c r="E296" s="70"/>
      <c r="F296" s="70"/>
      <c r="O296" s="94"/>
      <c r="P296" s="23"/>
      <c r="Q296" s="78"/>
      <c r="R296" s="78"/>
      <c r="S296" s="78"/>
      <c r="T296" s="78"/>
      <c r="U296" s="78"/>
      <c r="V296" s="79"/>
    </row>
    <row r="297">
      <c r="A297" s="13"/>
      <c r="B297" s="13"/>
      <c r="C297" s="70"/>
      <c r="D297" s="70"/>
      <c r="E297" s="70"/>
      <c r="F297" s="70"/>
      <c r="O297" s="94"/>
      <c r="P297" s="23"/>
      <c r="Q297" s="78"/>
      <c r="R297" s="78"/>
      <c r="S297" s="78"/>
      <c r="T297" s="78"/>
      <c r="U297" s="78"/>
      <c r="V297" s="79"/>
    </row>
    <row r="298">
      <c r="A298" s="13"/>
      <c r="B298" s="13"/>
      <c r="C298" s="70"/>
      <c r="D298" s="70"/>
      <c r="E298" s="70"/>
      <c r="F298" s="70"/>
      <c r="O298" s="94"/>
      <c r="P298" s="23"/>
      <c r="Q298" s="78"/>
      <c r="R298" s="78"/>
      <c r="S298" s="78"/>
      <c r="T298" s="78"/>
      <c r="U298" s="78"/>
      <c r="V298" s="79"/>
    </row>
    <row r="299">
      <c r="A299" s="13"/>
      <c r="B299" s="13"/>
      <c r="C299" s="70"/>
      <c r="D299" s="70"/>
      <c r="E299" s="70"/>
      <c r="F299" s="70"/>
      <c r="O299" s="94"/>
      <c r="P299" s="23"/>
      <c r="Q299" s="78"/>
      <c r="R299" s="78"/>
      <c r="S299" s="78"/>
      <c r="T299" s="78"/>
      <c r="U299" s="78"/>
      <c r="V299" s="79"/>
    </row>
    <row r="300">
      <c r="A300" s="13"/>
      <c r="B300" s="13"/>
      <c r="C300" s="70"/>
      <c r="D300" s="70"/>
      <c r="E300" s="70"/>
      <c r="F300" s="70"/>
      <c r="O300" s="94"/>
      <c r="P300" s="23"/>
      <c r="Q300" s="78"/>
      <c r="R300" s="78"/>
      <c r="S300" s="78"/>
      <c r="T300" s="78"/>
      <c r="U300" s="78"/>
      <c r="V300" s="79"/>
    </row>
    <row r="301">
      <c r="A301" s="13"/>
      <c r="B301" s="13"/>
      <c r="C301" s="70"/>
      <c r="D301" s="70"/>
      <c r="E301" s="70"/>
      <c r="F301" s="70"/>
      <c r="O301" s="94"/>
      <c r="P301" s="23"/>
      <c r="Q301" s="78"/>
      <c r="R301" s="78"/>
      <c r="S301" s="78"/>
      <c r="T301" s="78"/>
      <c r="U301" s="78"/>
      <c r="V301" s="79"/>
    </row>
    <row r="302">
      <c r="A302" s="13"/>
      <c r="B302" s="13"/>
      <c r="C302" s="70"/>
      <c r="D302" s="70"/>
      <c r="E302" s="70"/>
      <c r="F302" s="70"/>
      <c r="O302" s="94"/>
      <c r="P302" s="23"/>
      <c r="Q302" s="78"/>
      <c r="R302" s="78"/>
      <c r="S302" s="78"/>
      <c r="T302" s="78"/>
      <c r="U302" s="78"/>
      <c r="V302" s="79"/>
    </row>
    <row r="303">
      <c r="A303" s="13"/>
      <c r="B303" s="13"/>
      <c r="C303" s="70"/>
      <c r="D303" s="70"/>
      <c r="E303" s="70"/>
      <c r="F303" s="70"/>
      <c r="O303" s="94"/>
      <c r="P303" s="23"/>
      <c r="Q303" s="78"/>
      <c r="R303" s="78"/>
      <c r="S303" s="78"/>
      <c r="T303" s="78"/>
      <c r="U303" s="78"/>
      <c r="V303" s="79"/>
    </row>
    <row r="304">
      <c r="A304" s="13"/>
      <c r="B304" s="13"/>
      <c r="C304" s="70"/>
      <c r="D304" s="70"/>
      <c r="E304" s="70"/>
      <c r="F304" s="70"/>
      <c r="O304" s="94"/>
      <c r="P304" s="23"/>
      <c r="Q304" s="78"/>
      <c r="R304" s="78"/>
      <c r="S304" s="78"/>
      <c r="T304" s="78"/>
      <c r="U304" s="78"/>
      <c r="V304" s="79"/>
    </row>
    <row r="305">
      <c r="A305" s="13"/>
      <c r="B305" s="13"/>
      <c r="C305" s="70"/>
      <c r="D305" s="70"/>
      <c r="E305" s="70"/>
      <c r="F305" s="70"/>
      <c r="O305" s="94"/>
      <c r="P305" s="23"/>
      <c r="Q305" s="78"/>
      <c r="R305" s="78"/>
      <c r="S305" s="78"/>
      <c r="T305" s="78"/>
      <c r="U305" s="78"/>
      <c r="V305" s="79"/>
    </row>
    <row r="306">
      <c r="A306" s="13"/>
      <c r="B306" s="13"/>
      <c r="C306" s="70"/>
      <c r="D306" s="70"/>
      <c r="E306" s="70"/>
      <c r="F306" s="70"/>
      <c r="O306" s="94"/>
      <c r="P306" s="23"/>
      <c r="Q306" s="78"/>
      <c r="R306" s="78"/>
      <c r="S306" s="78"/>
      <c r="T306" s="78"/>
      <c r="U306" s="78"/>
      <c r="V306" s="79"/>
    </row>
    <row r="307">
      <c r="A307" s="13"/>
      <c r="B307" s="13"/>
      <c r="C307" s="70"/>
      <c r="D307" s="70"/>
      <c r="E307" s="70"/>
      <c r="F307" s="70"/>
      <c r="O307" s="94"/>
      <c r="P307" s="23"/>
      <c r="Q307" s="78"/>
      <c r="R307" s="78"/>
      <c r="S307" s="78"/>
      <c r="T307" s="78"/>
      <c r="U307" s="78"/>
      <c r="V307" s="79"/>
    </row>
    <row r="308">
      <c r="A308" s="13"/>
      <c r="B308" s="13"/>
      <c r="C308" s="70"/>
      <c r="D308" s="70"/>
      <c r="E308" s="70"/>
      <c r="F308" s="70"/>
      <c r="O308" s="94"/>
      <c r="P308" s="23"/>
      <c r="Q308" s="78"/>
      <c r="R308" s="78"/>
      <c r="S308" s="78"/>
      <c r="T308" s="78"/>
      <c r="U308" s="78"/>
      <c r="V308" s="79"/>
    </row>
    <row r="309">
      <c r="A309" s="13"/>
      <c r="B309" s="13"/>
      <c r="C309" s="70"/>
      <c r="D309" s="70"/>
      <c r="E309" s="70"/>
      <c r="F309" s="70"/>
      <c r="O309" s="94"/>
      <c r="P309" s="23"/>
      <c r="Q309" s="78"/>
      <c r="R309" s="78"/>
      <c r="S309" s="78"/>
      <c r="T309" s="78"/>
      <c r="U309" s="78"/>
      <c r="V309" s="79"/>
    </row>
    <row r="310">
      <c r="A310" s="13"/>
      <c r="B310" s="13"/>
      <c r="C310" s="70"/>
      <c r="D310" s="70"/>
      <c r="E310" s="70"/>
      <c r="F310" s="70"/>
      <c r="O310" s="94"/>
      <c r="P310" s="23"/>
      <c r="Q310" s="78"/>
      <c r="R310" s="78"/>
      <c r="S310" s="78"/>
      <c r="T310" s="78"/>
      <c r="U310" s="78"/>
      <c r="V310" s="79"/>
    </row>
    <row r="311">
      <c r="A311" s="13"/>
      <c r="B311" s="13"/>
      <c r="C311" s="70"/>
      <c r="D311" s="70"/>
      <c r="E311" s="70"/>
      <c r="F311" s="70"/>
      <c r="O311" s="94"/>
      <c r="P311" s="23"/>
      <c r="Q311" s="78"/>
      <c r="R311" s="78"/>
      <c r="S311" s="78"/>
      <c r="T311" s="78"/>
      <c r="U311" s="78"/>
      <c r="V311" s="79"/>
    </row>
    <row r="312">
      <c r="A312" s="13"/>
      <c r="B312" s="13"/>
      <c r="C312" s="70"/>
      <c r="D312" s="70"/>
      <c r="E312" s="70"/>
      <c r="F312" s="70"/>
      <c r="O312" s="94"/>
      <c r="P312" s="23"/>
      <c r="Q312" s="78"/>
      <c r="R312" s="78"/>
      <c r="S312" s="78"/>
      <c r="T312" s="78"/>
      <c r="U312" s="78"/>
      <c r="V312" s="79"/>
    </row>
    <row r="313">
      <c r="A313" s="13"/>
      <c r="B313" s="13"/>
      <c r="C313" s="70"/>
      <c r="D313" s="70"/>
      <c r="E313" s="70"/>
      <c r="F313" s="70"/>
      <c r="O313" s="94"/>
      <c r="P313" s="23"/>
      <c r="Q313" s="78"/>
      <c r="R313" s="78"/>
      <c r="S313" s="78"/>
      <c r="T313" s="78"/>
      <c r="U313" s="78"/>
      <c r="V313" s="79"/>
    </row>
    <row r="314">
      <c r="A314" s="13"/>
      <c r="B314" s="13"/>
      <c r="C314" s="70"/>
      <c r="D314" s="70"/>
      <c r="E314" s="70"/>
      <c r="F314" s="70"/>
      <c r="O314" s="94"/>
      <c r="P314" s="23"/>
      <c r="Q314" s="78"/>
      <c r="R314" s="78"/>
      <c r="S314" s="78"/>
      <c r="T314" s="78"/>
      <c r="U314" s="78"/>
      <c r="V314" s="79"/>
    </row>
    <row r="315">
      <c r="A315" s="13"/>
      <c r="B315" s="13"/>
      <c r="C315" s="70"/>
      <c r="D315" s="70"/>
      <c r="E315" s="70"/>
      <c r="F315" s="70"/>
      <c r="O315" s="94"/>
      <c r="P315" s="23"/>
      <c r="Q315" s="78"/>
      <c r="R315" s="78"/>
      <c r="S315" s="78"/>
      <c r="T315" s="78"/>
      <c r="U315" s="78"/>
      <c r="V315" s="79"/>
    </row>
    <row r="316">
      <c r="A316" s="13"/>
      <c r="B316" s="13"/>
      <c r="C316" s="70"/>
      <c r="D316" s="70"/>
      <c r="E316" s="70"/>
      <c r="F316" s="70"/>
      <c r="O316" s="94"/>
      <c r="P316" s="23"/>
      <c r="Q316" s="78"/>
      <c r="R316" s="78"/>
      <c r="S316" s="78"/>
      <c r="T316" s="78"/>
      <c r="U316" s="78"/>
      <c r="V316" s="79"/>
    </row>
    <row r="317">
      <c r="A317" s="13"/>
      <c r="B317" s="13"/>
      <c r="C317" s="70"/>
      <c r="D317" s="70"/>
      <c r="E317" s="70"/>
      <c r="F317" s="70"/>
      <c r="O317" s="94"/>
      <c r="P317" s="23"/>
      <c r="Q317" s="78"/>
      <c r="R317" s="78"/>
      <c r="S317" s="78"/>
      <c r="T317" s="78"/>
      <c r="U317" s="78"/>
      <c r="V317" s="79"/>
    </row>
    <row r="318">
      <c r="A318" s="13"/>
      <c r="B318" s="13"/>
      <c r="C318" s="70"/>
      <c r="D318" s="70"/>
      <c r="E318" s="70"/>
      <c r="F318" s="70"/>
      <c r="O318" s="94"/>
      <c r="P318" s="23"/>
      <c r="Q318" s="78"/>
      <c r="R318" s="78"/>
      <c r="S318" s="78"/>
      <c r="T318" s="78"/>
      <c r="U318" s="78"/>
      <c r="V318" s="79"/>
    </row>
    <row r="319">
      <c r="A319" s="13"/>
      <c r="B319" s="13"/>
      <c r="C319" s="70"/>
      <c r="D319" s="70"/>
      <c r="E319" s="70"/>
      <c r="F319" s="70"/>
      <c r="O319" s="94"/>
      <c r="P319" s="23"/>
      <c r="Q319" s="78"/>
      <c r="R319" s="78"/>
      <c r="S319" s="78"/>
      <c r="T319" s="78"/>
      <c r="U319" s="78"/>
      <c r="V319" s="79"/>
    </row>
    <row r="320">
      <c r="A320" s="13"/>
      <c r="B320" s="13"/>
      <c r="C320" s="70"/>
      <c r="D320" s="70"/>
      <c r="E320" s="70"/>
      <c r="F320" s="70"/>
      <c r="O320" s="94"/>
      <c r="P320" s="23"/>
      <c r="Q320" s="78"/>
      <c r="R320" s="78"/>
      <c r="S320" s="78"/>
      <c r="T320" s="78"/>
      <c r="U320" s="78"/>
      <c r="V320" s="79"/>
    </row>
    <row r="321">
      <c r="A321" s="13"/>
      <c r="B321" s="13"/>
      <c r="C321" s="70"/>
      <c r="D321" s="70"/>
      <c r="E321" s="70"/>
      <c r="F321" s="70"/>
      <c r="O321" s="94"/>
      <c r="P321" s="23"/>
      <c r="Q321" s="78"/>
      <c r="R321" s="78"/>
      <c r="S321" s="78"/>
      <c r="T321" s="78"/>
      <c r="U321" s="78"/>
      <c r="V321" s="79"/>
    </row>
    <row r="322">
      <c r="A322" s="13"/>
      <c r="B322" s="13"/>
      <c r="C322" s="70"/>
      <c r="D322" s="70"/>
      <c r="E322" s="70"/>
      <c r="F322" s="70"/>
      <c r="O322" s="94"/>
      <c r="P322" s="23"/>
      <c r="Q322" s="78"/>
      <c r="R322" s="78"/>
      <c r="S322" s="78"/>
      <c r="T322" s="78"/>
      <c r="U322" s="78"/>
      <c r="V322" s="79"/>
    </row>
    <row r="323">
      <c r="A323" s="13"/>
      <c r="B323" s="13"/>
      <c r="C323" s="70"/>
      <c r="D323" s="70"/>
      <c r="E323" s="70"/>
      <c r="F323" s="70"/>
      <c r="O323" s="94"/>
      <c r="P323" s="23"/>
      <c r="Q323" s="78"/>
      <c r="R323" s="78"/>
      <c r="S323" s="78"/>
      <c r="T323" s="78"/>
      <c r="U323" s="78"/>
      <c r="V323" s="79"/>
    </row>
    <row r="324">
      <c r="A324" s="13"/>
      <c r="B324" s="13"/>
      <c r="C324" s="70"/>
      <c r="D324" s="70"/>
      <c r="E324" s="70"/>
      <c r="F324" s="70"/>
      <c r="O324" s="94"/>
      <c r="P324" s="23"/>
      <c r="Q324" s="78"/>
      <c r="R324" s="78"/>
      <c r="S324" s="78"/>
      <c r="T324" s="78"/>
      <c r="U324" s="78"/>
      <c r="V324" s="79"/>
    </row>
    <row r="325">
      <c r="A325" s="13"/>
      <c r="B325" s="13"/>
      <c r="C325" s="70"/>
      <c r="D325" s="70"/>
      <c r="E325" s="70"/>
      <c r="F325" s="70"/>
      <c r="O325" s="94"/>
      <c r="P325" s="23"/>
      <c r="Q325" s="78"/>
      <c r="R325" s="78"/>
      <c r="S325" s="78"/>
      <c r="T325" s="78"/>
      <c r="U325" s="78"/>
      <c r="V325" s="79"/>
    </row>
    <row r="326">
      <c r="A326" s="13"/>
      <c r="B326" s="13"/>
      <c r="C326" s="70"/>
      <c r="D326" s="70"/>
      <c r="E326" s="70"/>
      <c r="F326" s="70"/>
      <c r="O326" s="94"/>
      <c r="P326" s="23"/>
      <c r="Q326" s="78"/>
      <c r="R326" s="78"/>
      <c r="S326" s="78"/>
      <c r="T326" s="78"/>
      <c r="U326" s="78"/>
      <c r="V326" s="79"/>
    </row>
    <row r="327">
      <c r="A327" s="13"/>
      <c r="B327" s="13"/>
      <c r="C327" s="70"/>
      <c r="D327" s="70"/>
      <c r="E327" s="70"/>
      <c r="F327" s="70"/>
      <c r="O327" s="94"/>
      <c r="P327" s="23"/>
      <c r="Q327" s="78"/>
      <c r="R327" s="78"/>
      <c r="S327" s="78"/>
      <c r="T327" s="78"/>
      <c r="U327" s="78"/>
      <c r="V327" s="79"/>
    </row>
    <row r="328">
      <c r="A328" s="13"/>
      <c r="B328" s="13"/>
      <c r="C328" s="70"/>
      <c r="D328" s="70"/>
      <c r="E328" s="70"/>
      <c r="F328" s="70"/>
      <c r="O328" s="94"/>
      <c r="P328" s="23"/>
      <c r="Q328" s="78"/>
      <c r="R328" s="78"/>
      <c r="S328" s="78"/>
      <c r="T328" s="78"/>
      <c r="U328" s="78"/>
      <c r="V328" s="79"/>
    </row>
    <row r="329">
      <c r="A329" s="13"/>
      <c r="B329" s="13"/>
      <c r="C329" s="70"/>
      <c r="D329" s="70"/>
      <c r="E329" s="70"/>
      <c r="F329" s="70"/>
      <c r="O329" s="94"/>
      <c r="P329" s="23"/>
      <c r="Q329" s="78"/>
      <c r="R329" s="78"/>
      <c r="S329" s="78"/>
      <c r="T329" s="78"/>
      <c r="U329" s="78"/>
      <c r="V329" s="79"/>
    </row>
    <row r="330">
      <c r="A330" s="13"/>
      <c r="B330" s="13"/>
      <c r="C330" s="70"/>
      <c r="D330" s="70"/>
      <c r="E330" s="70"/>
      <c r="F330" s="70"/>
      <c r="O330" s="94"/>
      <c r="P330" s="23"/>
      <c r="Q330" s="78"/>
      <c r="R330" s="78"/>
      <c r="S330" s="78"/>
      <c r="T330" s="78"/>
      <c r="U330" s="78"/>
      <c r="V330" s="79"/>
    </row>
    <row r="331">
      <c r="A331" s="13"/>
      <c r="B331" s="13"/>
      <c r="C331" s="70"/>
      <c r="D331" s="70"/>
      <c r="E331" s="70"/>
      <c r="F331" s="70"/>
      <c r="O331" s="94"/>
      <c r="P331" s="23"/>
      <c r="Q331" s="78"/>
      <c r="R331" s="78"/>
      <c r="S331" s="78"/>
      <c r="T331" s="78"/>
      <c r="U331" s="78"/>
      <c r="V331" s="79"/>
    </row>
    <row r="332">
      <c r="A332" s="13"/>
      <c r="B332" s="13"/>
      <c r="C332" s="70"/>
      <c r="D332" s="70"/>
      <c r="E332" s="70"/>
      <c r="F332" s="70"/>
      <c r="O332" s="94"/>
      <c r="P332" s="23"/>
      <c r="Q332" s="78"/>
      <c r="R332" s="78"/>
      <c r="S332" s="78"/>
      <c r="T332" s="78"/>
      <c r="U332" s="78"/>
      <c r="V332" s="79"/>
    </row>
    <row r="333">
      <c r="A333" s="13"/>
      <c r="B333" s="13"/>
      <c r="C333" s="70"/>
      <c r="D333" s="70"/>
      <c r="E333" s="70"/>
      <c r="F333" s="70"/>
      <c r="O333" s="94"/>
      <c r="P333" s="23"/>
      <c r="Q333" s="78"/>
      <c r="R333" s="78"/>
      <c r="S333" s="78"/>
      <c r="T333" s="78"/>
      <c r="U333" s="78"/>
      <c r="V333" s="79"/>
    </row>
    <row r="334">
      <c r="A334" s="13"/>
      <c r="B334" s="13"/>
      <c r="C334" s="70"/>
      <c r="D334" s="70"/>
      <c r="E334" s="70"/>
      <c r="F334" s="70"/>
      <c r="O334" s="94"/>
      <c r="P334" s="23"/>
      <c r="Q334" s="78"/>
      <c r="R334" s="78"/>
      <c r="S334" s="78"/>
      <c r="T334" s="78"/>
      <c r="U334" s="78"/>
      <c r="V334" s="79"/>
    </row>
    <row r="335">
      <c r="A335" s="13"/>
      <c r="B335" s="13"/>
      <c r="C335" s="70"/>
      <c r="D335" s="70"/>
      <c r="E335" s="70"/>
      <c r="F335" s="70"/>
      <c r="O335" s="94"/>
      <c r="P335" s="23"/>
      <c r="Q335" s="78"/>
      <c r="R335" s="78"/>
      <c r="S335" s="78"/>
      <c r="T335" s="78"/>
      <c r="U335" s="78"/>
      <c r="V335" s="79"/>
    </row>
    <row r="336">
      <c r="A336" s="13"/>
      <c r="B336" s="13"/>
      <c r="C336" s="70"/>
      <c r="D336" s="70"/>
      <c r="E336" s="70"/>
      <c r="F336" s="70"/>
      <c r="O336" s="94"/>
      <c r="P336" s="23"/>
      <c r="Q336" s="78"/>
      <c r="R336" s="78"/>
      <c r="S336" s="78"/>
      <c r="T336" s="78"/>
      <c r="U336" s="78"/>
      <c r="V336" s="79"/>
    </row>
    <row r="337">
      <c r="A337" s="13"/>
      <c r="B337" s="13"/>
      <c r="C337" s="70"/>
      <c r="D337" s="70"/>
      <c r="E337" s="70"/>
      <c r="F337" s="70"/>
      <c r="O337" s="94"/>
      <c r="P337" s="23"/>
      <c r="Q337" s="78"/>
      <c r="R337" s="78"/>
      <c r="S337" s="78"/>
      <c r="T337" s="78"/>
      <c r="U337" s="78"/>
      <c r="V337" s="79"/>
    </row>
    <row r="338">
      <c r="A338" s="13"/>
      <c r="B338" s="13"/>
      <c r="C338" s="70"/>
      <c r="D338" s="70"/>
      <c r="E338" s="70"/>
      <c r="F338" s="70"/>
      <c r="O338" s="94"/>
      <c r="P338" s="23"/>
      <c r="Q338" s="78"/>
      <c r="R338" s="78"/>
      <c r="S338" s="78"/>
      <c r="T338" s="78"/>
      <c r="U338" s="78"/>
      <c r="V338" s="79"/>
    </row>
    <row r="339">
      <c r="A339" s="13"/>
      <c r="B339" s="13"/>
      <c r="C339" s="70"/>
      <c r="D339" s="70"/>
      <c r="E339" s="70"/>
      <c r="F339" s="70"/>
      <c r="O339" s="94"/>
      <c r="P339" s="23"/>
      <c r="Q339" s="78"/>
      <c r="R339" s="78"/>
      <c r="S339" s="78"/>
      <c r="T339" s="78"/>
      <c r="U339" s="78"/>
      <c r="V339" s="79"/>
    </row>
    <row r="340">
      <c r="A340" s="13"/>
      <c r="B340" s="13"/>
      <c r="C340" s="70"/>
      <c r="D340" s="70"/>
      <c r="E340" s="70"/>
      <c r="F340" s="70"/>
      <c r="O340" s="94"/>
      <c r="P340" s="23"/>
      <c r="Q340" s="78"/>
      <c r="R340" s="78"/>
      <c r="S340" s="78"/>
      <c r="T340" s="78"/>
      <c r="U340" s="78"/>
      <c r="V340" s="79"/>
    </row>
    <row r="341">
      <c r="A341" s="13"/>
      <c r="B341" s="13"/>
      <c r="C341" s="70"/>
      <c r="D341" s="70"/>
      <c r="E341" s="70"/>
      <c r="F341" s="70"/>
      <c r="O341" s="94"/>
      <c r="P341" s="23"/>
      <c r="Q341" s="78"/>
      <c r="R341" s="78"/>
      <c r="S341" s="78"/>
      <c r="T341" s="78"/>
      <c r="U341" s="78"/>
      <c r="V341" s="79"/>
    </row>
    <row r="342">
      <c r="A342" s="13"/>
      <c r="B342" s="13"/>
      <c r="C342" s="70"/>
      <c r="D342" s="70"/>
      <c r="E342" s="70"/>
      <c r="F342" s="70"/>
      <c r="O342" s="94"/>
      <c r="P342" s="23"/>
      <c r="Q342" s="78"/>
      <c r="R342" s="78"/>
      <c r="S342" s="78"/>
      <c r="T342" s="78"/>
      <c r="U342" s="78"/>
      <c r="V342" s="79"/>
    </row>
    <row r="343">
      <c r="A343" s="13"/>
      <c r="B343" s="13"/>
      <c r="C343" s="70"/>
      <c r="D343" s="70"/>
      <c r="E343" s="70"/>
      <c r="F343" s="70"/>
      <c r="O343" s="94"/>
      <c r="P343" s="23"/>
      <c r="Q343" s="78"/>
      <c r="R343" s="78"/>
      <c r="S343" s="78"/>
      <c r="T343" s="78"/>
      <c r="U343" s="78"/>
      <c r="V343" s="79"/>
    </row>
    <row r="344">
      <c r="A344" s="13"/>
      <c r="B344" s="13"/>
      <c r="C344" s="70"/>
      <c r="D344" s="70"/>
      <c r="E344" s="70"/>
      <c r="F344" s="70"/>
      <c r="O344" s="94"/>
      <c r="P344" s="23"/>
      <c r="Q344" s="78"/>
      <c r="R344" s="78"/>
      <c r="S344" s="78"/>
      <c r="T344" s="78"/>
      <c r="U344" s="78"/>
      <c r="V344" s="79"/>
    </row>
    <row r="345">
      <c r="A345" s="13"/>
      <c r="B345" s="13"/>
      <c r="C345" s="70"/>
      <c r="D345" s="70"/>
      <c r="E345" s="70"/>
      <c r="F345" s="70"/>
      <c r="O345" s="94"/>
      <c r="P345" s="23"/>
      <c r="Q345" s="78"/>
      <c r="R345" s="78"/>
      <c r="S345" s="78"/>
      <c r="T345" s="78"/>
      <c r="U345" s="78"/>
      <c r="V345" s="79"/>
    </row>
    <row r="346">
      <c r="A346" s="13"/>
      <c r="B346" s="13"/>
      <c r="C346" s="70"/>
      <c r="D346" s="70"/>
      <c r="E346" s="70"/>
      <c r="F346" s="70"/>
      <c r="O346" s="94"/>
      <c r="P346" s="23"/>
      <c r="Q346" s="78"/>
      <c r="R346" s="78"/>
      <c r="S346" s="78"/>
      <c r="T346" s="78"/>
      <c r="U346" s="78"/>
      <c r="V346" s="79"/>
    </row>
    <row r="347">
      <c r="A347" s="13"/>
      <c r="B347" s="13"/>
      <c r="C347" s="70"/>
      <c r="D347" s="70"/>
      <c r="E347" s="70"/>
      <c r="F347" s="70"/>
      <c r="O347" s="94"/>
      <c r="P347" s="23"/>
      <c r="Q347" s="78"/>
      <c r="R347" s="78"/>
      <c r="S347" s="78"/>
      <c r="T347" s="78"/>
      <c r="U347" s="78"/>
      <c r="V347" s="79"/>
    </row>
    <row r="348">
      <c r="A348" s="13"/>
      <c r="B348" s="13"/>
      <c r="C348" s="70"/>
      <c r="D348" s="70"/>
      <c r="E348" s="70"/>
      <c r="F348" s="70"/>
      <c r="O348" s="94"/>
      <c r="P348" s="23"/>
      <c r="Q348" s="78"/>
      <c r="R348" s="78"/>
      <c r="S348" s="78"/>
      <c r="T348" s="78"/>
      <c r="U348" s="78"/>
      <c r="V348" s="79"/>
    </row>
    <row r="349">
      <c r="A349" s="13"/>
      <c r="B349" s="13"/>
      <c r="C349" s="70"/>
      <c r="D349" s="70"/>
      <c r="E349" s="70"/>
      <c r="F349" s="70"/>
      <c r="O349" s="94"/>
      <c r="P349" s="23"/>
      <c r="Q349" s="78"/>
      <c r="R349" s="78"/>
      <c r="S349" s="78"/>
      <c r="T349" s="78"/>
      <c r="U349" s="78"/>
      <c r="V349" s="79"/>
    </row>
    <row r="350">
      <c r="A350" s="13"/>
      <c r="B350" s="13"/>
      <c r="C350" s="70"/>
      <c r="D350" s="70"/>
      <c r="E350" s="70"/>
      <c r="F350" s="70"/>
      <c r="O350" s="94"/>
      <c r="P350" s="23"/>
      <c r="Q350" s="78"/>
      <c r="R350" s="78"/>
      <c r="S350" s="78"/>
      <c r="T350" s="78"/>
      <c r="U350" s="78"/>
      <c r="V350" s="79"/>
    </row>
    <row r="351">
      <c r="A351" s="13"/>
      <c r="B351" s="13"/>
      <c r="C351" s="70"/>
      <c r="D351" s="70"/>
      <c r="E351" s="70"/>
      <c r="F351" s="70"/>
      <c r="O351" s="94"/>
      <c r="P351" s="23"/>
      <c r="Q351" s="78"/>
      <c r="R351" s="78"/>
      <c r="S351" s="78"/>
      <c r="T351" s="78"/>
      <c r="U351" s="78"/>
      <c r="V351" s="79"/>
    </row>
    <row r="352">
      <c r="A352" s="13"/>
      <c r="B352" s="13"/>
      <c r="C352" s="70"/>
      <c r="D352" s="70"/>
      <c r="E352" s="70"/>
      <c r="F352" s="70"/>
      <c r="O352" s="94"/>
      <c r="P352" s="23"/>
      <c r="Q352" s="78"/>
      <c r="R352" s="78"/>
      <c r="S352" s="78"/>
      <c r="T352" s="78"/>
      <c r="U352" s="78"/>
      <c r="V352" s="79"/>
    </row>
    <row r="353">
      <c r="A353" s="13"/>
      <c r="B353" s="13"/>
      <c r="C353" s="70"/>
      <c r="D353" s="70"/>
      <c r="E353" s="70"/>
      <c r="F353" s="70"/>
      <c r="O353" s="94"/>
      <c r="P353" s="23"/>
      <c r="Q353" s="78"/>
      <c r="R353" s="78"/>
      <c r="S353" s="78"/>
      <c r="T353" s="78"/>
      <c r="U353" s="78"/>
      <c r="V353" s="79"/>
    </row>
    <row r="354">
      <c r="A354" s="13"/>
      <c r="B354" s="13"/>
      <c r="C354" s="70"/>
      <c r="D354" s="70"/>
      <c r="E354" s="70"/>
      <c r="F354" s="70"/>
      <c r="O354" s="94"/>
      <c r="P354" s="23"/>
      <c r="Q354" s="78"/>
      <c r="R354" s="78"/>
      <c r="S354" s="78"/>
      <c r="T354" s="78"/>
      <c r="U354" s="78"/>
      <c r="V354" s="79"/>
    </row>
    <row r="355">
      <c r="A355" s="13"/>
      <c r="B355" s="13"/>
      <c r="C355" s="70"/>
      <c r="D355" s="70"/>
      <c r="E355" s="70"/>
      <c r="F355" s="70"/>
      <c r="O355" s="94"/>
      <c r="P355" s="23"/>
      <c r="Q355" s="78"/>
      <c r="R355" s="78"/>
      <c r="S355" s="78"/>
      <c r="T355" s="78"/>
      <c r="U355" s="78"/>
      <c r="V355" s="79"/>
    </row>
    <row r="356">
      <c r="A356" s="13"/>
      <c r="B356" s="13"/>
      <c r="C356" s="70"/>
      <c r="D356" s="70"/>
      <c r="E356" s="70"/>
      <c r="F356" s="70"/>
      <c r="O356" s="94"/>
      <c r="P356" s="23"/>
      <c r="Q356" s="78"/>
      <c r="R356" s="78"/>
      <c r="S356" s="78"/>
      <c r="T356" s="78"/>
      <c r="U356" s="78"/>
      <c r="V356" s="79"/>
    </row>
    <row r="357">
      <c r="A357" s="13"/>
      <c r="B357" s="13"/>
      <c r="C357" s="70"/>
      <c r="D357" s="70"/>
      <c r="E357" s="70"/>
      <c r="F357" s="70"/>
      <c r="O357" s="94"/>
      <c r="P357" s="23"/>
      <c r="Q357" s="78"/>
      <c r="R357" s="78"/>
      <c r="S357" s="78"/>
      <c r="T357" s="78"/>
      <c r="U357" s="78"/>
      <c r="V357" s="79"/>
    </row>
    <row r="358">
      <c r="A358" s="13"/>
      <c r="B358" s="13"/>
      <c r="C358" s="70"/>
      <c r="D358" s="70"/>
      <c r="E358" s="70"/>
      <c r="F358" s="70"/>
      <c r="O358" s="94"/>
      <c r="P358" s="23"/>
      <c r="Q358" s="78"/>
      <c r="R358" s="78"/>
      <c r="S358" s="78"/>
      <c r="T358" s="78"/>
      <c r="U358" s="78"/>
      <c r="V358" s="79"/>
    </row>
    <row r="359">
      <c r="A359" s="13"/>
      <c r="B359" s="13"/>
      <c r="C359" s="70"/>
      <c r="D359" s="70"/>
      <c r="E359" s="70"/>
      <c r="F359" s="70"/>
      <c r="O359" s="94"/>
      <c r="P359" s="23"/>
      <c r="Q359" s="78"/>
      <c r="R359" s="78"/>
      <c r="S359" s="78"/>
      <c r="T359" s="78"/>
      <c r="U359" s="78"/>
      <c r="V359" s="79"/>
    </row>
    <row r="360">
      <c r="A360" s="13"/>
      <c r="B360" s="13"/>
      <c r="C360" s="70"/>
      <c r="D360" s="70"/>
      <c r="E360" s="70"/>
      <c r="F360" s="70"/>
      <c r="O360" s="94"/>
      <c r="P360" s="23"/>
      <c r="Q360" s="78"/>
      <c r="R360" s="78"/>
      <c r="S360" s="78"/>
      <c r="T360" s="78"/>
      <c r="U360" s="78"/>
      <c r="V360" s="79"/>
    </row>
    <row r="361">
      <c r="A361" s="13"/>
      <c r="B361" s="13"/>
      <c r="C361" s="70"/>
      <c r="D361" s="70"/>
      <c r="E361" s="70"/>
      <c r="F361" s="70"/>
      <c r="O361" s="94"/>
      <c r="P361" s="23"/>
      <c r="Q361" s="78"/>
      <c r="R361" s="78"/>
      <c r="S361" s="78"/>
      <c r="T361" s="78"/>
      <c r="U361" s="78"/>
      <c r="V361" s="79"/>
    </row>
    <row r="362">
      <c r="A362" s="13"/>
      <c r="B362" s="13"/>
      <c r="C362" s="70"/>
      <c r="D362" s="70"/>
      <c r="E362" s="70"/>
      <c r="F362" s="70"/>
      <c r="O362" s="94"/>
      <c r="P362" s="23"/>
      <c r="Q362" s="78"/>
      <c r="R362" s="78"/>
      <c r="S362" s="78"/>
      <c r="T362" s="78"/>
      <c r="U362" s="78"/>
      <c r="V362" s="79"/>
    </row>
    <row r="363">
      <c r="A363" s="13"/>
      <c r="B363" s="13"/>
      <c r="C363" s="70"/>
      <c r="D363" s="70"/>
      <c r="E363" s="70"/>
      <c r="F363" s="70"/>
      <c r="O363" s="94"/>
      <c r="P363" s="23"/>
      <c r="Q363" s="78"/>
      <c r="R363" s="78"/>
      <c r="S363" s="78"/>
      <c r="T363" s="78"/>
      <c r="U363" s="78"/>
      <c r="V363" s="79"/>
    </row>
    <row r="364">
      <c r="A364" s="13"/>
      <c r="B364" s="13"/>
      <c r="C364" s="70"/>
      <c r="D364" s="70"/>
      <c r="E364" s="70"/>
      <c r="F364" s="70"/>
      <c r="O364" s="94"/>
      <c r="P364" s="23"/>
      <c r="Q364" s="78"/>
      <c r="R364" s="78"/>
      <c r="S364" s="78"/>
      <c r="T364" s="78"/>
      <c r="U364" s="78"/>
      <c r="V364" s="79"/>
    </row>
    <row r="365">
      <c r="A365" s="13"/>
      <c r="B365" s="13"/>
      <c r="C365" s="70"/>
      <c r="D365" s="70"/>
      <c r="E365" s="70"/>
      <c r="F365" s="70"/>
      <c r="O365" s="94"/>
      <c r="P365" s="23"/>
      <c r="Q365" s="78"/>
      <c r="R365" s="78"/>
      <c r="S365" s="78"/>
      <c r="T365" s="78"/>
      <c r="U365" s="78"/>
      <c r="V365" s="79"/>
    </row>
    <row r="366">
      <c r="A366" s="13"/>
      <c r="B366" s="13"/>
      <c r="C366" s="70"/>
      <c r="D366" s="70"/>
      <c r="E366" s="70"/>
      <c r="F366" s="70"/>
      <c r="O366" s="94"/>
      <c r="P366" s="23"/>
      <c r="Q366" s="78"/>
      <c r="R366" s="78"/>
      <c r="S366" s="78"/>
      <c r="T366" s="78"/>
      <c r="U366" s="78"/>
      <c r="V366" s="79"/>
    </row>
    <row r="367">
      <c r="A367" s="13"/>
      <c r="B367" s="13"/>
      <c r="C367" s="70"/>
      <c r="D367" s="70"/>
      <c r="E367" s="70"/>
      <c r="F367" s="70"/>
      <c r="O367" s="94"/>
      <c r="P367" s="23"/>
      <c r="Q367" s="78"/>
      <c r="R367" s="78"/>
      <c r="S367" s="78"/>
      <c r="T367" s="78"/>
      <c r="U367" s="78"/>
      <c r="V367" s="79"/>
    </row>
    <row r="368">
      <c r="A368" s="13"/>
      <c r="B368" s="13"/>
      <c r="C368" s="70"/>
      <c r="D368" s="70"/>
      <c r="E368" s="70"/>
      <c r="F368" s="70"/>
      <c r="O368" s="94"/>
      <c r="P368" s="23"/>
      <c r="Q368" s="78"/>
      <c r="R368" s="78"/>
      <c r="S368" s="78"/>
      <c r="T368" s="78"/>
      <c r="U368" s="78"/>
      <c r="V368" s="79"/>
    </row>
    <row r="369">
      <c r="A369" s="13"/>
      <c r="B369" s="13"/>
      <c r="C369" s="70"/>
      <c r="D369" s="70"/>
      <c r="E369" s="70"/>
      <c r="F369" s="70"/>
      <c r="O369" s="94"/>
      <c r="P369" s="23"/>
      <c r="Q369" s="78"/>
      <c r="R369" s="78"/>
      <c r="S369" s="78"/>
      <c r="T369" s="78"/>
      <c r="U369" s="78"/>
      <c r="V369" s="79"/>
    </row>
    <row r="370">
      <c r="A370" s="13"/>
      <c r="B370" s="13"/>
      <c r="C370" s="70"/>
      <c r="D370" s="70"/>
      <c r="E370" s="70"/>
      <c r="F370" s="70"/>
      <c r="O370" s="94"/>
      <c r="P370" s="23"/>
      <c r="Q370" s="78"/>
      <c r="R370" s="78"/>
      <c r="S370" s="78"/>
      <c r="T370" s="78"/>
      <c r="U370" s="78"/>
      <c r="V370" s="79"/>
    </row>
    <row r="371">
      <c r="A371" s="13"/>
      <c r="B371" s="13"/>
      <c r="C371" s="70"/>
      <c r="D371" s="70"/>
      <c r="E371" s="70"/>
      <c r="F371" s="70"/>
      <c r="O371" s="94"/>
      <c r="P371" s="23"/>
      <c r="Q371" s="78"/>
      <c r="R371" s="78"/>
      <c r="S371" s="78"/>
      <c r="T371" s="78"/>
      <c r="U371" s="78"/>
      <c r="V371" s="79"/>
    </row>
    <row r="372">
      <c r="A372" s="13"/>
      <c r="B372" s="13"/>
      <c r="C372" s="70"/>
      <c r="D372" s="70"/>
      <c r="E372" s="70"/>
      <c r="F372" s="70"/>
      <c r="O372" s="94"/>
      <c r="P372" s="23"/>
      <c r="Q372" s="78"/>
      <c r="R372" s="78"/>
      <c r="S372" s="78"/>
      <c r="T372" s="78"/>
      <c r="U372" s="78"/>
      <c r="V372" s="79"/>
    </row>
    <row r="373">
      <c r="A373" s="13"/>
      <c r="B373" s="13"/>
      <c r="C373" s="70"/>
      <c r="D373" s="70"/>
      <c r="E373" s="70"/>
      <c r="F373" s="70"/>
      <c r="O373" s="94"/>
      <c r="P373" s="23"/>
      <c r="Q373" s="78"/>
      <c r="R373" s="78"/>
      <c r="S373" s="78"/>
      <c r="T373" s="78"/>
      <c r="U373" s="78"/>
      <c r="V373" s="79"/>
    </row>
    <row r="374">
      <c r="A374" s="13"/>
      <c r="B374" s="13"/>
      <c r="C374" s="70"/>
      <c r="D374" s="70"/>
      <c r="E374" s="70"/>
      <c r="F374" s="70"/>
      <c r="O374" s="94"/>
      <c r="P374" s="23"/>
      <c r="Q374" s="78"/>
      <c r="R374" s="78"/>
      <c r="S374" s="78"/>
      <c r="T374" s="78"/>
      <c r="U374" s="78"/>
      <c r="V374" s="79"/>
    </row>
    <row r="375">
      <c r="A375" s="13"/>
      <c r="B375" s="13"/>
      <c r="C375" s="70"/>
      <c r="D375" s="70"/>
      <c r="E375" s="70"/>
      <c r="F375" s="70"/>
      <c r="O375" s="94"/>
      <c r="P375" s="23"/>
      <c r="Q375" s="78"/>
      <c r="R375" s="78"/>
      <c r="S375" s="78"/>
      <c r="T375" s="78"/>
      <c r="U375" s="78"/>
      <c r="V375" s="79"/>
    </row>
    <row r="376">
      <c r="A376" s="13"/>
      <c r="B376" s="13"/>
      <c r="C376" s="70"/>
      <c r="D376" s="70"/>
      <c r="E376" s="70"/>
      <c r="F376" s="70"/>
      <c r="O376" s="94"/>
      <c r="P376" s="23"/>
      <c r="Q376" s="78"/>
      <c r="R376" s="78"/>
      <c r="S376" s="78"/>
      <c r="T376" s="78"/>
      <c r="U376" s="78"/>
      <c r="V376" s="79"/>
    </row>
    <row r="377">
      <c r="A377" s="13"/>
      <c r="B377" s="13"/>
      <c r="C377" s="70"/>
      <c r="D377" s="70"/>
      <c r="E377" s="70"/>
      <c r="F377" s="70"/>
      <c r="O377" s="94"/>
      <c r="P377" s="23"/>
      <c r="Q377" s="78"/>
      <c r="R377" s="78"/>
      <c r="S377" s="78"/>
      <c r="T377" s="78"/>
      <c r="U377" s="78"/>
      <c r="V377" s="79"/>
    </row>
    <row r="378">
      <c r="A378" s="13"/>
      <c r="B378" s="13"/>
      <c r="C378" s="70"/>
      <c r="D378" s="70"/>
      <c r="E378" s="70"/>
      <c r="F378" s="70"/>
      <c r="O378" s="94"/>
      <c r="P378" s="23"/>
      <c r="Q378" s="78"/>
      <c r="R378" s="78"/>
      <c r="S378" s="78"/>
      <c r="T378" s="78"/>
      <c r="U378" s="78"/>
      <c r="V378" s="79"/>
    </row>
    <row r="379">
      <c r="A379" s="13"/>
      <c r="B379" s="13"/>
      <c r="C379" s="70"/>
      <c r="D379" s="70"/>
      <c r="E379" s="70"/>
      <c r="F379" s="70"/>
      <c r="O379" s="94"/>
      <c r="P379" s="23"/>
      <c r="Q379" s="78"/>
      <c r="R379" s="78"/>
      <c r="S379" s="78"/>
      <c r="T379" s="78"/>
      <c r="U379" s="78"/>
      <c r="V379" s="79"/>
    </row>
    <row r="380">
      <c r="A380" s="13"/>
      <c r="B380" s="13"/>
      <c r="C380" s="70"/>
      <c r="D380" s="70"/>
      <c r="E380" s="70"/>
      <c r="F380" s="70"/>
      <c r="O380" s="94"/>
      <c r="P380" s="23"/>
      <c r="Q380" s="78"/>
      <c r="R380" s="78"/>
      <c r="S380" s="78"/>
      <c r="T380" s="78"/>
      <c r="U380" s="78"/>
      <c r="V380" s="79"/>
    </row>
    <row r="381">
      <c r="A381" s="13"/>
      <c r="B381" s="13"/>
      <c r="C381" s="70"/>
      <c r="D381" s="70"/>
      <c r="E381" s="70"/>
      <c r="F381" s="70"/>
      <c r="O381" s="94"/>
      <c r="P381" s="23"/>
      <c r="Q381" s="78"/>
      <c r="R381" s="78"/>
      <c r="S381" s="78"/>
      <c r="T381" s="78"/>
      <c r="U381" s="78"/>
      <c r="V381" s="79"/>
    </row>
    <row r="382">
      <c r="A382" s="13"/>
      <c r="B382" s="13"/>
      <c r="C382" s="70"/>
      <c r="D382" s="70"/>
      <c r="E382" s="70"/>
      <c r="F382" s="70"/>
      <c r="O382" s="94"/>
      <c r="P382" s="23"/>
      <c r="Q382" s="78"/>
      <c r="R382" s="78"/>
      <c r="S382" s="78"/>
      <c r="T382" s="78"/>
      <c r="U382" s="78"/>
      <c r="V382" s="79"/>
    </row>
    <row r="383">
      <c r="A383" s="13"/>
      <c r="B383" s="13"/>
      <c r="C383" s="70"/>
      <c r="D383" s="70"/>
      <c r="E383" s="70"/>
      <c r="F383" s="70"/>
      <c r="O383" s="94"/>
      <c r="P383" s="23"/>
      <c r="Q383" s="78"/>
      <c r="R383" s="78"/>
      <c r="S383" s="78"/>
      <c r="T383" s="78"/>
      <c r="U383" s="78"/>
      <c r="V383" s="79"/>
    </row>
    <row r="384">
      <c r="A384" s="13"/>
      <c r="B384" s="13"/>
      <c r="C384" s="70"/>
      <c r="D384" s="70"/>
      <c r="E384" s="70"/>
      <c r="F384" s="70"/>
      <c r="O384" s="94"/>
      <c r="P384" s="23"/>
      <c r="Q384" s="78"/>
      <c r="R384" s="78"/>
      <c r="S384" s="78"/>
      <c r="T384" s="78"/>
      <c r="U384" s="78"/>
      <c r="V384" s="79"/>
    </row>
    <row r="385">
      <c r="A385" s="13"/>
      <c r="B385" s="13"/>
      <c r="C385" s="70"/>
      <c r="D385" s="70"/>
      <c r="E385" s="70"/>
      <c r="F385" s="70"/>
      <c r="O385" s="94"/>
      <c r="P385" s="23"/>
      <c r="Q385" s="78"/>
      <c r="R385" s="78"/>
      <c r="S385" s="78"/>
      <c r="T385" s="78"/>
      <c r="U385" s="78"/>
      <c r="V385" s="79"/>
    </row>
    <row r="386">
      <c r="A386" s="13"/>
      <c r="B386" s="13"/>
      <c r="C386" s="70"/>
      <c r="D386" s="70"/>
      <c r="E386" s="70"/>
      <c r="F386" s="70"/>
      <c r="O386" s="94"/>
      <c r="P386" s="23"/>
      <c r="Q386" s="78"/>
      <c r="R386" s="78"/>
      <c r="S386" s="78"/>
      <c r="T386" s="78"/>
      <c r="U386" s="78"/>
      <c r="V386" s="79"/>
    </row>
    <row r="387">
      <c r="A387" s="13"/>
      <c r="B387" s="13"/>
      <c r="C387" s="70"/>
      <c r="D387" s="70"/>
      <c r="E387" s="70"/>
      <c r="F387" s="70"/>
      <c r="O387" s="94"/>
      <c r="P387" s="23"/>
      <c r="Q387" s="78"/>
      <c r="R387" s="78"/>
      <c r="S387" s="78"/>
      <c r="T387" s="78"/>
      <c r="U387" s="78"/>
      <c r="V387" s="79"/>
    </row>
    <row r="388">
      <c r="A388" s="13"/>
      <c r="B388" s="13"/>
      <c r="C388" s="70"/>
      <c r="D388" s="70"/>
      <c r="E388" s="70"/>
      <c r="F388" s="70"/>
      <c r="O388" s="94"/>
      <c r="P388" s="23"/>
      <c r="Q388" s="78"/>
      <c r="R388" s="78"/>
      <c r="S388" s="78"/>
      <c r="T388" s="78"/>
      <c r="U388" s="78"/>
      <c r="V388" s="79"/>
    </row>
    <row r="389">
      <c r="A389" s="13"/>
      <c r="B389" s="13"/>
      <c r="C389" s="70"/>
      <c r="D389" s="70"/>
      <c r="E389" s="70"/>
      <c r="F389" s="70"/>
      <c r="O389" s="94"/>
      <c r="P389" s="23"/>
      <c r="Q389" s="78"/>
      <c r="R389" s="78"/>
      <c r="S389" s="78"/>
      <c r="T389" s="78"/>
      <c r="U389" s="78"/>
      <c r="V389" s="79"/>
    </row>
    <row r="390">
      <c r="A390" s="13"/>
      <c r="B390" s="13"/>
      <c r="C390" s="70"/>
      <c r="D390" s="70"/>
      <c r="E390" s="70"/>
      <c r="F390" s="70"/>
      <c r="O390" s="94"/>
      <c r="P390" s="23"/>
      <c r="Q390" s="78"/>
      <c r="R390" s="78"/>
      <c r="S390" s="78"/>
      <c r="T390" s="78"/>
      <c r="U390" s="78"/>
      <c r="V390" s="79"/>
    </row>
    <row r="391">
      <c r="A391" s="13"/>
      <c r="B391" s="13"/>
      <c r="C391" s="70"/>
      <c r="D391" s="70"/>
      <c r="E391" s="70"/>
      <c r="F391" s="70"/>
      <c r="O391" s="94"/>
      <c r="P391" s="23"/>
      <c r="Q391" s="78"/>
      <c r="R391" s="78"/>
      <c r="S391" s="78"/>
      <c r="T391" s="78"/>
      <c r="U391" s="78"/>
      <c r="V391" s="79"/>
    </row>
    <row r="392">
      <c r="A392" s="13"/>
      <c r="B392" s="13"/>
      <c r="C392" s="70"/>
      <c r="D392" s="70"/>
      <c r="E392" s="70"/>
      <c r="F392" s="70"/>
      <c r="O392" s="94"/>
      <c r="P392" s="23"/>
      <c r="Q392" s="78"/>
      <c r="R392" s="78"/>
      <c r="S392" s="78"/>
      <c r="T392" s="78"/>
      <c r="U392" s="78"/>
      <c r="V392" s="79"/>
    </row>
    <row r="393">
      <c r="A393" s="13"/>
      <c r="B393" s="13"/>
      <c r="C393" s="70"/>
      <c r="D393" s="70"/>
      <c r="E393" s="70"/>
      <c r="F393" s="70"/>
      <c r="O393" s="94"/>
      <c r="P393" s="23"/>
      <c r="Q393" s="78"/>
      <c r="R393" s="78"/>
      <c r="S393" s="78"/>
      <c r="T393" s="78"/>
      <c r="U393" s="78"/>
      <c r="V393" s="79"/>
    </row>
    <row r="394">
      <c r="A394" s="13"/>
      <c r="B394" s="13"/>
      <c r="C394" s="70"/>
      <c r="D394" s="70"/>
      <c r="E394" s="70"/>
      <c r="F394" s="70"/>
      <c r="O394" s="94"/>
      <c r="P394" s="23"/>
      <c r="Q394" s="78"/>
      <c r="R394" s="78"/>
      <c r="S394" s="78"/>
      <c r="T394" s="78"/>
      <c r="U394" s="78"/>
      <c r="V394" s="79"/>
    </row>
    <row r="395">
      <c r="A395" s="13"/>
      <c r="B395" s="13"/>
      <c r="C395" s="70"/>
      <c r="D395" s="70"/>
      <c r="E395" s="70"/>
      <c r="F395" s="70"/>
      <c r="O395" s="94"/>
      <c r="P395" s="23"/>
      <c r="Q395" s="78"/>
      <c r="R395" s="78"/>
      <c r="S395" s="78"/>
      <c r="T395" s="78"/>
      <c r="U395" s="78"/>
      <c r="V395" s="79"/>
    </row>
    <row r="396">
      <c r="A396" s="13"/>
      <c r="B396" s="13"/>
      <c r="C396" s="70"/>
      <c r="D396" s="70"/>
      <c r="E396" s="70"/>
      <c r="F396" s="70"/>
      <c r="O396" s="94"/>
      <c r="P396" s="23"/>
      <c r="Q396" s="78"/>
      <c r="R396" s="78"/>
      <c r="S396" s="78"/>
      <c r="T396" s="78"/>
      <c r="U396" s="78"/>
      <c r="V396" s="79"/>
    </row>
    <row r="397">
      <c r="A397" s="13"/>
      <c r="B397" s="13"/>
      <c r="C397" s="70"/>
      <c r="D397" s="70"/>
      <c r="E397" s="70"/>
      <c r="F397" s="70"/>
      <c r="O397" s="94"/>
      <c r="P397" s="23"/>
      <c r="Q397" s="78"/>
      <c r="R397" s="78"/>
      <c r="S397" s="78"/>
      <c r="T397" s="78"/>
      <c r="U397" s="78"/>
      <c r="V397" s="79"/>
    </row>
    <row r="398">
      <c r="A398" s="13"/>
      <c r="B398" s="13"/>
      <c r="C398" s="70"/>
      <c r="D398" s="70"/>
      <c r="E398" s="70"/>
      <c r="F398" s="70"/>
      <c r="O398" s="94"/>
      <c r="P398" s="23"/>
      <c r="Q398" s="78"/>
      <c r="R398" s="78"/>
      <c r="S398" s="78"/>
      <c r="T398" s="78"/>
      <c r="U398" s="78"/>
      <c r="V398" s="79"/>
    </row>
    <row r="399">
      <c r="A399" s="13"/>
      <c r="B399" s="13"/>
      <c r="C399" s="70"/>
      <c r="D399" s="70"/>
      <c r="E399" s="70"/>
      <c r="F399" s="70"/>
      <c r="O399" s="94"/>
      <c r="P399" s="23"/>
      <c r="Q399" s="78"/>
      <c r="R399" s="78"/>
      <c r="S399" s="78"/>
      <c r="T399" s="78"/>
      <c r="U399" s="78"/>
      <c r="V399" s="79"/>
    </row>
    <row r="400">
      <c r="A400" s="13"/>
      <c r="B400" s="13"/>
      <c r="C400" s="70"/>
      <c r="D400" s="70"/>
      <c r="E400" s="70"/>
      <c r="F400" s="70"/>
      <c r="O400" s="94"/>
      <c r="P400" s="23"/>
      <c r="Q400" s="78"/>
      <c r="R400" s="78"/>
      <c r="S400" s="78"/>
      <c r="T400" s="78"/>
      <c r="U400" s="78"/>
      <c r="V400" s="79"/>
    </row>
    <row r="401">
      <c r="A401" s="13"/>
      <c r="B401" s="13"/>
      <c r="C401" s="70"/>
      <c r="D401" s="70"/>
      <c r="E401" s="70"/>
      <c r="F401" s="70"/>
      <c r="O401" s="94"/>
      <c r="P401" s="23"/>
      <c r="Q401" s="78"/>
      <c r="R401" s="78"/>
      <c r="S401" s="78"/>
      <c r="T401" s="78"/>
      <c r="U401" s="78"/>
      <c r="V401" s="79"/>
    </row>
    <row r="402">
      <c r="A402" s="13"/>
      <c r="B402" s="13"/>
      <c r="C402" s="70"/>
      <c r="D402" s="70"/>
      <c r="E402" s="70"/>
      <c r="F402" s="70"/>
      <c r="O402" s="94"/>
      <c r="P402" s="23"/>
      <c r="Q402" s="78"/>
      <c r="R402" s="78"/>
      <c r="S402" s="78"/>
      <c r="T402" s="78"/>
      <c r="U402" s="78"/>
      <c r="V402" s="79"/>
    </row>
    <row r="403">
      <c r="A403" s="13"/>
      <c r="B403" s="13"/>
      <c r="C403" s="70"/>
      <c r="D403" s="70"/>
      <c r="E403" s="70"/>
      <c r="F403" s="70"/>
      <c r="O403" s="94"/>
      <c r="P403" s="23"/>
      <c r="Q403" s="78"/>
      <c r="R403" s="78"/>
      <c r="S403" s="78"/>
      <c r="T403" s="78"/>
      <c r="U403" s="78"/>
      <c r="V403" s="79"/>
    </row>
    <row r="404">
      <c r="A404" s="13"/>
      <c r="B404" s="13"/>
      <c r="C404" s="70"/>
      <c r="D404" s="70"/>
      <c r="E404" s="70"/>
      <c r="F404" s="70"/>
      <c r="O404" s="94"/>
      <c r="P404" s="23"/>
      <c r="Q404" s="78"/>
      <c r="R404" s="78"/>
      <c r="S404" s="78"/>
      <c r="T404" s="78"/>
      <c r="U404" s="78"/>
      <c r="V404" s="79"/>
    </row>
    <row r="405">
      <c r="A405" s="13"/>
      <c r="B405" s="13"/>
      <c r="C405" s="70"/>
      <c r="D405" s="70"/>
      <c r="E405" s="70"/>
      <c r="F405" s="70"/>
      <c r="O405" s="94"/>
      <c r="P405" s="23"/>
      <c r="Q405" s="78"/>
      <c r="R405" s="78"/>
      <c r="S405" s="78"/>
      <c r="T405" s="78"/>
      <c r="U405" s="78"/>
      <c r="V405" s="79"/>
    </row>
    <row r="406">
      <c r="A406" s="13"/>
      <c r="B406" s="13"/>
      <c r="C406" s="70"/>
      <c r="D406" s="70"/>
      <c r="E406" s="70"/>
      <c r="F406" s="70"/>
      <c r="O406" s="94"/>
      <c r="P406" s="23"/>
      <c r="Q406" s="78"/>
      <c r="R406" s="78"/>
      <c r="S406" s="78"/>
      <c r="T406" s="78"/>
      <c r="U406" s="78"/>
      <c r="V406" s="79"/>
    </row>
    <row r="407">
      <c r="A407" s="13"/>
      <c r="B407" s="13"/>
      <c r="C407" s="70"/>
      <c r="D407" s="70"/>
      <c r="E407" s="70"/>
      <c r="F407" s="70"/>
      <c r="O407" s="94"/>
      <c r="P407" s="23"/>
      <c r="Q407" s="78"/>
      <c r="R407" s="78"/>
      <c r="S407" s="78"/>
      <c r="T407" s="78"/>
      <c r="U407" s="78"/>
      <c r="V407" s="79"/>
    </row>
    <row r="408">
      <c r="A408" s="13"/>
      <c r="B408" s="13"/>
      <c r="C408" s="70"/>
      <c r="D408" s="70"/>
      <c r="E408" s="70"/>
      <c r="F408" s="70"/>
      <c r="O408" s="94"/>
      <c r="P408" s="23"/>
      <c r="Q408" s="78"/>
      <c r="R408" s="78"/>
      <c r="S408" s="78"/>
      <c r="T408" s="78"/>
      <c r="U408" s="78"/>
      <c r="V408" s="79"/>
    </row>
    <row r="409">
      <c r="A409" s="13"/>
      <c r="B409" s="13"/>
      <c r="C409" s="70"/>
      <c r="D409" s="70"/>
      <c r="E409" s="70"/>
      <c r="F409" s="70"/>
      <c r="O409" s="94"/>
      <c r="P409" s="23"/>
      <c r="Q409" s="78"/>
      <c r="R409" s="78"/>
      <c r="S409" s="78"/>
      <c r="T409" s="78"/>
      <c r="U409" s="78"/>
      <c r="V409" s="79"/>
    </row>
    <row r="410">
      <c r="A410" s="13"/>
      <c r="B410" s="13"/>
      <c r="C410" s="70"/>
      <c r="D410" s="70"/>
      <c r="E410" s="70"/>
      <c r="F410" s="70"/>
      <c r="O410" s="94"/>
      <c r="P410" s="23"/>
      <c r="Q410" s="78"/>
      <c r="R410" s="78"/>
      <c r="S410" s="78"/>
      <c r="T410" s="78"/>
      <c r="U410" s="78"/>
      <c r="V410" s="79"/>
    </row>
    <row r="411">
      <c r="A411" s="13"/>
      <c r="B411" s="13"/>
      <c r="C411" s="70"/>
      <c r="D411" s="70"/>
      <c r="E411" s="70"/>
      <c r="F411" s="70"/>
      <c r="O411" s="94"/>
      <c r="P411" s="23"/>
      <c r="Q411" s="78"/>
      <c r="R411" s="78"/>
      <c r="S411" s="78"/>
      <c r="T411" s="78"/>
      <c r="U411" s="78"/>
      <c r="V411" s="79"/>
    </row>
    <row r="412">
      <c r="A412" s="13"/>
      <c r="B412" s="13"/>
      <c r="C412" s="70"/>
      <c r="D412" s="70"/>
      <c r="E412" s="70"/>
      <c r="F412" s="70"/>
      <c r="O412" s="94"/>
      <c r="P412" s="23"/>
      <c r="Q412" s="78"/>
      <c r="R412" s="78"/>
      <c r="S412" s="78"/>
      <c r="T412" s="78"/>
      <c r="U412" s="78"/>
      <c r="V412" s="79"/>
    </row>
    <row r="413">
      <c r="A413" s="13"/>
      <c r="B413" s="13"/>
      <c r="C413" s="70"/>
      <c r="D413" s="70"/>
      <c r="E413" s="70"/>
      <c r="F413" s="70"/>
      <c r="O413" s="94"/>
      <c r="P413" s="23"/>
      <c r="Q413" s="78"/>
      <c r="R413" s="78"/>
      <c r="S413" s="78"/>
      <c r="T413" s="78"/>
      <c r="U413" s="78"/>
      <c r="V413" s="79"/>
    </row>
    <row r="414">
      <c r="A414" s="13"/>
      <c r="B414" s="13"/>
      <c r="C414" s="70"/>
      <c r="D414" s="70"/>
      <c r="E414" s="70"/>
      <c r="F414" s="70"/>
      <c r="O414" s="94"/>
      <c r="P414" s="23"/>
      <c r="Q414" s="78"/>
      <c r="R414" s="78"/>
      <c r="S414" s="78"/>
      <c r="T414" s="78"/>
      <c r="U414" s="78"/>
      <c r="V414" s="79"/>
    </row>
    <row r="415">
      <c r="A415" s="13"/>
      <c r="B415" s="13"/>
      <c r="C415" s="70"/>
      <c r="D415" s="70"/>
      <c r="E415" s="70"/>
      <c r="F415" s="70"/>
      <c r="O415" s="94"/>
      <c r="P415" s="23"/>
      <c r="Q415" s="78"/>
      <c r="R415" s="78"/>
      <c r="S415" s="78"/>
      <c r="T415" s="78"/>
      <c r="U415" s="78"/>
      <c r="V415" s="79"/>
    </row>
    <row r="416">
      <c r="A416" s="13"/>
      <c r="B416" s="13"/>
      <c r="C416" s="70"/>
      <c r="D416" s="70"/>
      <c r="E416" s="70"/>
      <c r="F416" s="70"/>
      <c r="O416" s="94"/>
      <c r="P416" s="23"/>
      <c r="Q416" s="78"/>
      <c r="R416" s="78"/>
      <c r="S416" s="78"/>
      <c r="T416" s="78"/>
      <c r="U416" s="78"/>
      <c r="V416" s="79"/>
    </row>
    <row r="417">
      <c r="A417" s="13"/>
      <c r="B417" s="13"/>
      <c r="C417" s="70"/>
      <c r="D417" s="70"/>
      <c r="E417" s="70"/>
      <c r="F417" s="70"/>
      <c r="O417" s="94"/>
      <c r="P417" s="23"/>
      <c r="Q417" s="78"/>
      <c r="R417" s="78"/>
      <c r="S417" s="78"/>
      <c r="T417" s="78"/>
      <c r="U417" s="78"/>
      <c r="V417" s="79"/>
    </row>
    <row r="418">
      <c r="A418" s="13"/>
      <c r="B418" s="13"/>
      <c r="C418" s="70"/>
      <c r="D418" s="70"/>
      <c r="E418" s="70"/>
      <c r="F418" s="70"/>
      <c r="O418" s="94"/>
      <c r="P418" s="23"/>
      <c r="Q418" s="78"/>
      <c r="R418" s="78"/>
      <c r="S418" s="78"/>
      <c r="T418" s="78"/>
      <c r="U418" s="78"/>
      <c r="V418" s="79"/>
    </row>
    <row r="419">
      <c r="A419" s="13"/>
      <c r="B419" s="13"/>
      <c r="C419" s="70"/>
      <c r="D419" s="70"/>
      <c r="E419" s="70"/>
      <c r="F419" s="70"/>
      <c r="O419" s="94"/>
      <c r="P419" s="23"/>
      <c r="Q419" s="78"/>
      <c r="R419" s="78"/>
      <c r="S419" s="78"/>
      <c r="T419" s="78"/>
      <c r="U419" s="78"/>
      <c r="V419" s="79"/>
    </row>
    <row r="420">
      <c r="A420" s="13"/>
      <c r="B420" s="13"/>
      <c r="C420" s="70"/>
      <c r="D420" s="70"/>
      <c r="E420" s="70"/>
      <c r="F420" s="70"/>
      <c r="O420" s="94"/>
      <c r="P420" s="23"/>
      <c r="Q420" s="78"/>
      <c r="R420" s="78"/>
      <c r="S420" s="78"/>
      <c r="T420" s="78"/>
      <c r="U420" s="78"/>
      <c r="V420" s="79"/>
    </row>
    <row r="421">
      <c r="A421" s="13"/>
      <c r="B421" s="13"/>
      <c r="C421" s="70"/>
      <c r="D421" s="70"/>
      <c r="E421" s="70"/>
      <c r="F421" s="70"/>
      <c r="O421" s="94"/>
      <c r="P421" s="23"/>
      <c r="Q421" s="78"/>
      <c r="R421" s="78"/>
      <c r="S421" s="78"/>
      <c r="T421" s="78"/>
      <c r="U421" s="78"/>
      <c r="V421" s="79"/>
    </row>
    <row r="422">
      <c r="A422" s="13"/>
      <c r="B422" s="13"/>
      <c r="C422" s="70"/>
      <c r="D422" s="70"/>
      <c r="E422" s="70"/>
      <c r="F422" s="70"/>
      <c r="O422" s="94"/>
      <c r="P422" s="23"/>
      <c r="Q422" s="78"/>
      <c r="R422" s="78"/>
      <c r="S422" s="78"/>
      <c r="T422" s="78"/>
      <c r="U422" s="78"/>
      <c r="V422" s="79"/>
    </row>
    <row r="423">
      <c r="A423" s="13"/>
      <c r="B423" s="13"/>
      <c r="C423" s="70"/>
      <c r="D423" s="70"/>
      <c r="E423" s="70"/>
      <c r="F423" s="70"/>
      <c r="O423" s="94"/>
      <c r="P423" s="23"/>
      <c r="Q423" s="78"/>
      <c r="R423" s="78"/>
      <c r="S423" s="78"/>
      <c r="T423" s="78"/>
      <c r="U423" s="78"/>
      <c r="V423" s="79"/>
    </row>
    <row r="424">
      <c r="A424" s="13"/>
      <c r="B424" s="13"/>
      <c r="C424" s="70"/>
      <c r="D424" s="70"/>
      <c r="E424" s="70"/>
      <c r="F424" s="70"/>
      <c r="O424" s="94"/>
      <c r="P424" s="23"/>
      <c r="Q424" s="78"/>
      <c r="R424" s="78"/>
      <c r="S424" s="78"/>
      <c r="T424" s="78"/>
      <c r="U424" s="78"/>
      <c r="V424" s="79"/>
    </row>
    <row r="425">
      <c r="A425" s="13"/>
      <c r="B425" s="13"/>
      <c r="C425" s="70"/>
      <c r="D425" s="70"/>
      <c r="E425" s="70"/>
      <c r="F425" s="70"/>
      <c r="O425" s="94"/>
      <c r="P425" s="23"/>
      <c r="Q425" s="78"/>
      <c r="R425" s="78"/>
      <c r="S425" s="78"/>
      <c r="T425" s="78"/>
      <c r="U425" s="78"/>
      <c r="V425" s="79"/>
    </row>
    <row r="426">
      <c r="A426" s="13"/>
      <c r="B426" s="13"/>
      <c r="C426" s="70"/>
      <c r="D426" s="70"/>
      <c r="E426" s="70"/>
      <c r="F426" s="70"/>
      <c r="O426" s="94"/>
      <c r="P426" s="23"/>
      <c r="Q426" s="78"/>
      <c r="R426" s="78"/>
      <c r="S426" s="78"/>
      <c r="T426" s="78"/>
      <c r="U426" s="78"/>
      <c r="V426" s="79"/>
    </row>
    <row r="427">
      <c r="A427" s="13"/>
      <c r="B427" s="13"/>
      <c r="C427" s="70"/>
      <c r="D427" s="70"/>
      <c r="E427" s="70"/>
      <c r="F427" s="70"/>
      <c r="O427" s="94"/>
      <c r="P427" s="23"/>
      <c r="Q427" s="78"/>
      <c r="R427" s="78"/>
      <c r="S427" s="78"/>
      <c r="T427" s="78"/>
      <c r="U427" s="78"/>
      <c r="V427" s="79"/>
    </row>
    <row r="428">
      <c r="A428" s="13"/>
      <c r="B428" s="13"/>
      <c r="C428" s="70"/>
      <c r="D428" s="70"/>
      <c r="E428" s="70"/>
      <c r="F428" s="70"/>
      <c r="O428" s="94"/>
      <c r="P428" s="23"/>
      <c r="Q428" s="78"/>
      <c r="R428" s="78"/>
      <c r="S428" s="78"/>
      <c r="T428" s="78"/>
      <c r="U428" s="78"/>
      <c r="V428" s="79"/>
    </row>
    <row r="429">
      <c r="A429" s="13"/>
      <c r="B429" s="13"/>
      <c r="C429" s="70"/>
      <c r="D429" s="70"/>
      <c r="E429" s="70"/>
      <c r="F429" s="70"/>
      <c r="O429" s="94"/>
      <c r="P429" s="23"/>
      <c r="Q429" s="78"/>
      <c r="R429" s="78"/>
      <c r="S429" s="78"/>
      <c r="T429" s="78"/>
      <c r="U429" s="78"/>
      <c r="V429" s="79"/>
    </row>
    <row r="430">
      <c r="A430" s="13"/>
      <c r="B430" s="13"/>
      <c r="C430" s="70"/>
      <c r="D430" s="70"/>
      <c r="E430" s="70"/>
      <c r="F430" s="70"/>
      <c r="O430" s="94"/>
      <c r="P430" s="23"/>
      <c r="Q430" s="78"/>
      <c r="R430" s="78"/>
      <c r="S430" s="78"/>
      <c r="T430" s="78"/>
      <c r="U430" s="78"/>
      <c r="V430" s="79"/>
    </row>
    <row r="431">
      <c r="A431" s="13"/>
      <c r="B431" s="13"/>
      <c r="C431" s="70"/>
      <c r="D431" s="70"/>
      <c r="E431" s="70"/>
      <c r="F431" s="70"/>
      <c r="O431" s="94"/>
      <c r="P431" s="23"/>
      <c r="Q431" s="78"/>
      <c r="R431" s="78"/>
      <c r="S431" s="78"/>
      <c r="T431" s="78"/>
      <c r="U431" s="78"/>
      <c r="V431" s="79"/>
    </row>
    <row r="432">
      <c r="A432" s="13"/>
      <c r="B432" s="13"/>
      <c r="C432" s="70"/>
      <c r="D432" s="70"/>
      <c r="E432" s="70"/>
      <c r="F432" s="70"/>
      <c r="O432" s="94"/>
      <c r="P432" s="23"/>
      <c r="Q432" s="78"/>
      <c r="R432" s="78"/>
      <c r="S432" s="78"/>
      <c r="T432" s="78"/>
      <c r="U432" s="78"/>
      <c r="V432" s="79"/>
    </row>
    <row r="433">
      <c r="A433" s="13"/>
      <c r="B433" s="13"/>
      <c r="C433" s="70"/>
      <c r="D433" s="70"/>
      <c r="E433" s="70"/>
      <c r="F433" s="70"/>
      <c r="O433" s="94"/>
      <c r="P433" s="23"/>
      <c r="Q433" s="78"/>
      <c r="R433" s="78"/>
      <c r="S433" s="78"/>
      <c r="T433" s="78"/>
      <c r="U433" s="78"/>
      <c r="V433" s="79"/>
    </row>
    <row r="434">
      <c r="A434" s="13"/>
      <c r="B434" s="13"/>
      <c r="C434" s="70"/>
      <c r="D434" s="70"/>
      <c r="E434" s="70"/>
      <c r="F434" s="70"/>
      <c r="O434" s="94"/>
      <c r="P434" s="23"/>
      <c r="Q434" s="78"/>
      <c r="R434" s="78"/>
      <c r="S434" s="78"/>
      <c r="T434" s="78"/>
      <c r="U434" s="78"/>
      <c r="V434" s="79"/>
    </row>
    <row r="435">
      <c r="A435" s="13"/>
      <c r="B435" s="13"/>
      <c r="C435" s="70"/>
      <c r="D435" s="70"/>
      <c r="E435" s="70"/>
      <c r="F435" s="70"/>
      <c r="O435" s="94"/>
      <c r="P435" s="23"/>
      <c r="Q435" s="78"/>
      <c r="R435" s="78"/>
      <c r="S435" s="78"/>
      <c r="T435" s="78"/>
      <c r="U435" s="78"/>
      <c r="V435" s="79"/>
    </row>
    <row r="436">
      <c r="A436" s="13"/>
      <c r="B436" s="13"/>
      <c r="C436" s="70"/>
      <c r="D436" s="70"/>
      <c r="E436" s="70"/>
      <c r="F436" s="70"/>
      <c r="O436" s="94"/>
      <c r="P436" s="23"/>
      <c r="Q436" s="78"/>
      <c r="R436" s="78"/>
      <c r="S436" s="78"/>
      <c r="T436" s="78"/>
      <c r="U436" s="78"/>
      <c r="V436" s="79"/>
    </row>
    <row r="437">
      <c r="A437" s="13"/>
      <c r="B437" s="13"/>
      <c r="C437" s="70"/>
      <c r="D437" s="70"/>
      <c r="E437" s="70"/>
      <c r="F437" s="70"/>
      <c r="O437" s="94"/>
      <c r="P437" s="23"/>
      <c r="Q437" s="78"/>
      <c r="R437" s="78"/>
      <c r="S437" s="78"/>
      <c r="T437" s="78"/>
      <c r="U437" s="78"/>
      <c r="V437" s="79"/>
    </row>
    <row r="438">
      <c r="A438" s="13"/>
      <c r="B438" s="13"/>
      <c r="C438" s="70"/>
      <c r="D438" s="70"/>
      <c r="E438" s="70"/>
      <c r="F438" s="70"/>
      <c r="O438" s="94"/>
      <c r="P438" s="23"/>
      <c r="Q438" s="78"/>
      <c r="R438" s="78"/>
      <c r="S438" s="78"/>
      <c r="T438" s="78"/>
      <c r="U438" s="78"/>
      <c r="V438" s="79"/>
    </row>
    <row r="439">
      <c r="A439" s="13"/>
      <c r="B439" s="13"/>
      <c r="C439" s="70"/>
      <c r="D439" s="70"/>
      <c r="E439" s="70"/>
      <c r="F439" s="70"/>
      <c r="O439" s="94"/>
      <c r="P439" s="23"/>
      <c r="Q439" s="78"/>
      <c r="R439" s="78"/>
      <c r="S439" s="78"/>
      <c r="T439" s="78"/>
      <c r="U439" s="78"/>
      <c r="V439" s="79"/>
    </row>
    <row r="440">
      <c r="A440" s="13"/>
      <c r="B440" s="13"/>
      <c r="C440" s="70"/>
      <c r="D440" s="70"/>
      <c r="E440" s="70"/>
      <c r="F440" s="70"/>
      <c r="O440" s="94"/>
      <c r="P440" s="23"/>
      <c r="Q440" s="78"/>
      <c r="R440" s="78"/>
      <c r="S440" s="78"/>
      <c r="T440" s="78"/>
      <c r="U440" s="78"/>
      <c r="V440" s="79"/>
    </row>
    <row r="441">
      <c r="A441" s="13"/>
      <c r="B441" s="13"/>
      <c r="C441" s="70"/>
      <c r="D441" s="70"/>
      <c r="E441" s="70"/>
      <c r="F441" s="70"/>
      <c r="O441" s="94"/>
      <c r="P441" s="23"/>
      <c r="Q441" s="78"/>
      <c r="R441" s="78"/>
      <c r="S441" s="78"/>
      <c r="T441" s="78"/>
      <c r="U441" s="78"/>
      <c r="V441" s="79"/>
    </row>
    <row r="442">
      <c r="A442" s="13"/>
      <c r="B442" s="13"/>
      <c r="C442" s="70"/>
      <c r="D442" s="70"/>
      <c r="E442" s="70"/>
      <c r="F442" s="70"/>
      <c r="O442" s="94"/>
      <c r="P442" s="23"/>
      <c r="Q442" s="78"/>
      <c r="R442" s="78"/>
      <c r="S442" s="78"/>
      <c r="T442" s="78"/>
      <c r="U442" s="78"/>
      <c r="V442" s="79"/>
    </row>
    <row r="443">
      <c r="A443" s="13"/>
      <c r="B443" s="13"/>
      <c r="C443" s="70"/>
      <c r="D443" s="70"/>
      <c r="E443" s="70"/>
      <c r="F443" s="70"/>
      <c r="O443" s="94"/>
      <c r="P443" s="23"/>
      <c r="Q443" s="78"/>
      <c r="R443" s="78"/>
      <c r="S443" s="78"/>
      <c r="T443" s="78"/>
      <c r="U443" s="78"/>
      <c r="V443" s="79"/>
    </row>
    <row r="444">
      <c r="A444" s="13"/>
      <c r="B444" s="13"/>
      <c r="C444" s="70"/>
      <c r="D444" s="70"/>
      <c r="E444" s="70"/>
      <c r="F444" s="70"/>
      <c r="O444" s="94"/>
      <c r="P444" s="23"/>
      <c r="Q444" s="78"/>
      <c r="R444" s="78"/>
      <c r="S444" s="78"/>
      <c r="T444" s="78"/>
      <c r="U444" s="78"/>
      <c r="V444" s="79"/>
    </row>
    <row r="445">
      <c r="A445" s="13"/>
      <c r="B445" s="13"/>
      <c r="C445" s="70"/>
      <c r="D445" s="70"/>
      <c r="E445" s="70"/>
      <c r="F445" s="70"/>
      <c r="O445" s="94"/>
      <c r="P445" s="23"/>
      <c r="Q445" s="78"/>
      <c r="R445" s="78"/>
      <c r="S445" s="78"/>
      <c r="T445" s="78"/>
      <c r="U445" s="78"/>
      <c r="V445" s="79"/>
    </row>
    <row r="446">
      <c r="A446" s="13"/>
      <c r="B446" s="13"/>
      <c r="C446" s="70"/>
      <c r="D446" s="70"/>
      <c r="E446" s="70"/>
      <c r="F446" s="70"/>
      <c r="O446" s="94"/>
      <c r="P446" s="23"/>
      <c r="Q446" s="78"/>
      <c r="R446" s="78"/>
      <c r="S446" s="78"/>
      <c r="T446" s="78"/>
      <c r="U446" s="78"/>
      <c r="V446" s="79"/>
    </row>
    <row r="447">
      <c r="A447" s="13"/>
      <c r="B447" s="13"/>
      <c r="C447" s="70"/>
      <c r="D447" s="70"/>
      <c r="E447" s="70"/>
      <c r="F447" s="70"/>
      <c r="O447" s="94"/>
      <c r="P447" s="23"/>
      <c r="Q447" s="78"/>
      <c r="R447" s="78"/>
      <c r="S447" s="78"/>
      <c r="T447" s="78"/>
      <c r="U447" s="78"/>
      <c r="V447" s="79"/>
    </row>
    <row r="448">
      <c r="A448" s="13"/>
      <c r="B448" s="13"/>
      <c r="C448" s="70"/>
      <c r="D448" s="70"/>
      <c r="E448" s="70"/>
      <c r="F448" s="70"/>
      <c r="O448" s="94"/>
      <c r="P448" s="23"/>
      <c r="Q448" s="78"/>
      <c r="R448" s="78"/>
      <c r="S448" s="78"/>
      <c r="T448" s="78"/>
      <c r="U448" s="78"/>
      <c r="V448" s="79"/>
    </row>
    <row r="449">
      <c r="A449" s="13"/>
      <c r="B449" s="13"/>
      <c r="C449" s="70"/>
      <c r="D449" s="70"/>
      <c r="E449" s="70"/>
      <c r="F449" s="70"/>
      <c r="O449" s="94"/>
      <c r="P449" s="23"/>
      <c r="Q449" s="78"/>
      <c r="R449" s="78"/>
      <c r="S449" s="78"/>
      <c r="T449" s="78"/>
      <c r="U449" s="78"/>
      <c r="V449" s="79"/>
    </row>
    <row r="450">
      <c r="A450" s="13"/>
      <c r="B450" s="13"/>
      <c r="C450" s="70"/>
      <c r="D450" s="70"/>
      <c r="E450" s="70"/>
      <c r="F450" s="70"/>
      <c r="O450" s="94"/>
      <c r="P450" s="23"/>
      <c r="Q450" s="78"/>
      <c r="R450" s="78"/>
      <c r="S450" s="78"/>
      <c r="T450" s="78"/>
      <c r="U450" s="78"/>
      <c r="V450" s="79"/>
    </row>
    <row r="451">
      <c r="A451" s="13"/>
      <c r="B451" s="13"/>
      <c r="C451" s="70"/>
      <c r="D451" s="70"/>
      <c r="E451" s="70"/>
      <c r="F451" s="70"/>
      <c r="O451" s="94"/>
      <c r="P451" s="23"/>
      <c r="Q451" s="78"/>
      <c r="R451" s="78"/>
      <c r="S451" s="78"/>
      <c r="T451" s="78"/>
      <c r="U451" s="78"/>
      <c r="V451" s="79"/>
    </row>
    <row r="452">
      <c r="A452" s="13"/>
      <c r="B452" s="13"/>
      <c r="C452" s="70"/>
      <c r="D452" s="70"/>
      <c r="E452" s="70"/>
      <c r="F452" s="70"/>
      <c r="O452" s="94"/>
      <c r="P452" s="23"/>
      <c r="Q452" s="78"/>
      <c r="R452" s="78"/>
      <c r="S452" s="78"/>
      <c r="T452" s="78"/>
      <c r="U452" s="78"/>
      <c r="V452" s="79"/>
    </row>
    <row r="453">
      <c r="A453" s="13"/>
      <c r="B453" s="13"/>
      <c r="C453" s="70"/>
      <c r="D453" s="70"/>
      <c r="E453" s="70"/>
      <c r="F453" s="70"/>
      <c r="O453" s="94"/>
      <c r="P453" s="23"/>
      <c r="Q453" s="78"/>
      <c r="R453" s="78"/>
      <c r="S453" s="78"/>
      <c r="T453" s="78"/>
      <c r="U453" s="78"/>
      <c r="V453" s="79"/>
    </row>
    <row r="454">
      <c r="A454" s="13"/>
      <c r="B454" s="13"/>
      <c r="C454" s="70"/>
      <c r="D454" s="70"/>
      <c r="E454" s="70"/>
      <c r="F454" s="70"/>
      <c r="O454" s="94"/>
      <c r="P454" s="23"/>
      <c r="Q454" s="78"/>
      <c r="R454" s="78"/>
      <c r="S454" s="78"/>
      <c r="T454" s="78"/>
      <c r="U454" s="78"/>
      <c r="V454" s="79"/>
    </row>
    <row r="455">
      <c r="A455" s="13"/>
      <c r="B455" s="13"/>
      <c r="C455" s="70"/>
      <c r="D455" s="70"/>
      <c r="E455" s="70"/>
      <c r="F455" s="70"/>
      <c r="O455" s="94"/>
      <c r="P455" s="23"/>
      <c r="Q455" s="78"/>
      <c r="R455" s="78"/>
      <c r="S455" s="78"/>
      <c r="T455" s="78"/>
      <c r="U455" s="78"/>
      <c r="V455" s="79"/>
    </row>
    <row r="456">
      <c r="A456" s="13"/>
      <c r="B456" s="13"/>
      <c r="C456" s="70"/>
      <c r="D456" s="70"/>
      <c r="E456" s="70"/>
      <c r="F456" s="70"/>
      <c r="O456" s="94"/>
      <c r="P456" s="23"/>
      <c r="Q456" s="78"/>
      <c r="R456" s="78"/>
      <c r="S456" s="78"/>
      <c r="T456" s="78"/>
      <c r="U456" s="78"/>
      <c r="V456" s="79"/>
    </row>
    <row r="457">
      <c r="A457" s="13"/>
      <c r="B457" s="13"/>
      <c r="C457" s="70"/>
      <c r="D457" s="70"/>
      <c r="E457" s="70"/>
      <c r="F457" s="70"/>
      <c r="O457" s="94"/>
      <c r="P457" s="23"/>
      <c r="Q457" s="78"/>
      <c r="R457" s="78"/>
      <c r="S457" s="78"/>
      <c r="T457" s="78"/>
      <c r="U457" s="78"/>
      <c r="V457" s="79"/>
    </row>
    <row r="458">
      <c r="A458" s="13"/>
      <c r="B458" s="13"/>
      <c r="C458" s="70"/>
      <c r="D458" s="70"/>
      <c r="E458" s="70"/>
      <c r="F458" s="70"/>
      <c r="O458" s="94"/>
      <c r="P458" s="23"/>
      <c r="Q458" s="78"/>
      <c r="R458" s="78"/>
      <c r="S458" s="78"/>
      <c r="T458" s="78"/>
      <c r="U458" s="78"/>
      <c r="V458" s="79"/>
    </row>
    <row r="459">
      <c r="A459" s="13"/>
      <c r="B459" s="13"/>
      <c r="C459" s="70"/>
      <c r="D459" s="70"/>
      <c r="E459" s="70"/>
      <c r="F459" s="70"/>
      <c r="O459" s="94"/>
      <c r="P459" s="23"/>
      <c r="Q459" s="78"/>
      <c r="R459" s="78"/>
      <c r="S459" s="78"/>
      <c r="T459" s="78"/>
      <c r="U459" s="78"/>
      <c r="V459" s="79"/>
    </row>
    <row r="460">
      <c r="A460" s="13"/>
      <c r="B460" s="13"/>
      <c r="C460" s="70"/>
      <c r="D460" s="70"/>
      <c r="E460" s="70"/>
      <c r="F460" s="70"/>
      <c r="O460" s="94"/>
      <c r="P460" s="23"/>
      <c r="Q460" s="78"/>
      <c r="R460" s="78"/>
      <c r="S460" s="78"/>
      <c r="T460" s="78"/>
      <c r="U460" s="78"/>
      <c r="V460" s="79"/>
    </row>
    <row r="461">
      <c r="A461" s="13"/>
      <c r="B461" s="13"/>
      <c r="C461" s="70"/>
      <c r="D461" s="70"/>
      <c r="E461" s="70"/>
      <c r="F461" s="70"/>
      <c r="O461" s="94"/>
      <c r="P461" s="23"/>
      <c r="Q461" s="78"/>
      <c r="R461" s="78"/>
      <c r="S461" s="78"/>
      <c r="T461" s="78"/>
      <c r="U461" s="78"/>
      <c r="V461" s="79"/>
    </row>
    <row r="462">
      <c r="A462" s="13"/>
      <c r="B462" s="13"/>
      <c r="C462" s="70"/>
      <c r="D462" s="70"/>
      <c r="E462" s="70"/>
      <c r="F462" s="70"/>
      <c r="O462" s="94"/>
      <c r="P462" s="23"/>
      <c r="Q462" s="78"/>
      <c r="R462" s="78"/>
      <c r="S462" s="78"/>
      <c r="T462" s="78"/>
      <c r="U462" s="78"/>
      <c r="V462" s="79"/>
    </row>
    <row r="463">
      <c r="A463" s="13"/>
      <c r="B463" s="13"/>
      <c r="C463" s="70"/>
      <c r="D463" s="70"/>
      <c r="E463" s="70"/>
      <c r="F463" s="70"/>
      <c r="O463" s="94"/>
      <c r="P463" s="23"/>
      <c r="Q463" s="78"/>
      <c r="R463" s="78"/>
      <c r="S463" s="78"/>
      <c r="T463" s="78"/>
      <c r="U463" s="78"/>
      <c r="V463" s="79"/>
    </row>
    <row r="464">
      <c r="A464" s="13"/>
      <c r="B464" s="13"/>
      <c r="C464" s="70"/>
      <c r="D464" s="70"/>
      <c r="E464" s="70"/>
      <c r="F464" s="70"/>
      <c r="O464" s="94"/>
      <c r="P464" s="23"/>
      <c r="Q464" s="78"/>
      <c r="R464" s="78"/>
      <c r="S464" s="78"/>
      <c r="T464" s="78"/>
      <c r="U464" s="78"/>
      <c r="V464" s="79"/>
    </row>
    <row r="465">
      <c r="A465" s="13"/>
      <c r="B465" s="13"/>
      <c r="C465" s="70"/>
      <c r="D465" s="70"/>
      <c r="E465" s="70"/>
      <c r="F465" s="70"/>
      <c r="O465" s="94"/>
      <c r="P465" s="23"/>
      <c r="Q465" s="78"/>
      <c r="R465" s="78"/>
      <c r="S465" s="78"/>
      <c r="T465" s="78"/>
      <c r="U465" s="78"/>
      <c r="V465" s="79"/>
    </row>
    <row r="466">
      <c r="A466" s="13"/>
      <c r="B466" s="13"/>
      <c r="C466" s="70"/>
      <c r="D466" s="70"/>
      <c r="E466" s="70"/>
      <c r="F466" s="70"/>
      <c r="O466" s="94"/>
      <c r="P466" s="23"/>
      <c r="Q466" s="78"/>
      <c r="R466" s="78"/>
      <c r="S466" s="78"/>
      <c r="T466" s="78"/>
      <c r="U466" s="78"/>
      <c r="V466" s="79"/>
    </row>
    <row r="467">
      <c r="A467" s="13"/>
      <c r="B467" s="13"/>
      <c r="C467" s="70"/>
      <c r="D467" s="70"/>
      <c r="E467" s="70"/>
      <c r="F467" s="70"/>
      <c r="O467" s="94"/>
      <c r="P467" s="23"/>
      <c r="Q467" s="78"/>
      <c r="R467" s="78"/>
      <c r="S467" s="78"/>
      <c r="T467" s="78"/>
      <c r="U467" s="78"/>
      <c r="V467" s="79"/>
    </row>
    <row r="468">
      <c r="A468" s="13"/>
      <c r="B468" s="13"/>
      <c r="C468" s="70"/>
      <c r="D468" s="70"/>
      <c r="E468" s="70"/>
      <c r="F468" s="70"/>
      <c r="O468" s="94"/>
      <c r="P468" s="23"/>
      <c r="Q468" s="78"/>
      <c r="R468" s="78"/>
      <c r="S468" s="78"/>
      <c r="T468" s="78"/>
      <c r="U468" s="78"/>
      <c r="V468" s="79"/>
    </row>
    <row r="469">
      <c r="A469" s="13"/>
      <c r="B469" s="13"/>
      <c r="C469" s="70"/>
      <c r="D469" s="70"/>
      <c r="E469" s="70"/>
      <c r="F469" s="70"/>
      <c r="O469" s="94"/>
      <c r="P469" s="23"/>
      <c r="Q469" s="78"/>
      <c r="R469" s="78"/>
      <c r="S469" s="78"/>
      <c r="T469" s="78"/>
      <c r="U469" s="78"/>
      <c r="V469" s="79"/>
    </row>
    <row r="470">
      <c r="A470" s="13"/>
      <c r="B470" s="13"/>
      <c r="C470" s="70"/>
      <c r="D470" s="70"/>
      <c r="E470" s="70"/>
      <c r="F470" s="70"/>
      <c r="O470" s="94"/>
      <c r="P470" s="23"/>
      <c r="Q470" s="78"/>
      <c r="R470" s="78"/>
      <c r="S470" s="78"/>
      <c r="T470" s="78"/>
      <c r="U470" s="78"/>
      <c r="V470" s="79"/>
    </row>
    <row r="471">
      <c r="A471" s="13"/>
      <c r="B471" s="13"/>
      <c r="C471" s="70"/>
      <c r="D471" s="70"/>
      <c r="E471" s="70"/>
      <c r="F471" s="70"/>
      <c r="O471" s="94"/>
      <c r="P471" s="23"/>
      <c r="Q471" s="78"/>
      <c r="R471" s="78"/>
      <c r="S471" s="78"/>
      <c r="T471" s="78"/>
      <c r="U471" s="78"/>
      <c r="V471" s="79"/>
    </row>
    <row r="472">
      <c r="A472" s="13"/>
      <c r="B472" s="13"/>
      <c r="C472" s="70"/>
      <c r="D472" s="70"/>
      <c r="E472" s="70"/>
      <c r="F472" s="70"/>
      <c r="O472" s="94"/>
      <c r="P472" s="23"/>
      <c r="Q472" s="78"/>
      <c r="R472" s="78"/>
      <c r="S472" s="78"/>
      <c r="T472" s="78"/>
      <c r="U472" s="78"/>
      <c r="V472" s="79"/>
    </row>
    <row r="473">
      <c r="A473" s="13"/>
      <c r="B473" s="13"/>
      <c r="C473" s="70"/>
      <c r="D473" s="70"/>
      <c r="E473" s="70"/>
      <c r="F473" s="70"/>
      <c r="O473" s="94"/>
      <c r="P473" s="23"/>
      <c r="Q473" s="78"/>
      <c r="R473" s="78"/>
      <c r="S473" s="78"/>
      <c r="T473" s="78"/>
      <c r="U473" s="78"/>
      <c r="V473" s="79"/>
    </row>
    <row r="474">
      <c r="A474" s="13"/>
      <c r="B474" s="13"/>
      <c r="C474" s="70"/>
      <c r="D474" s="70"/>
      <c r="E474" s="70"/>
      <c r="F474" s="70"/>
      <c r="O474" s="94"/>
      <c r="P474" s="23"/>
      <c r="Q474" s="78"/>
      <c r="R474" s="78"/>
      <c r="S474" s="78"/>
      <c r="T474" s="78"/>
      <c r="U474" s="78"/>
      <c r="V474" s="79"/>
    </row>
    <row r="475">
      <c r="A475" s="13"/>
      <c r="B475" s="13"/>
      <c r="C475" s="70"/>
      <c r="D475" s="70"/>
      <c r="E475" s="70"/>
      <c r="F475" s="70"/>
      <c r="O475" s="94"/>
      <c r="P475" s="23"/>
      <c r="Q475" s="78"/>
      <c r="R475" s="78"/>
      <c r="S475" s="78"/>
      <c r="T475" s="78"/>
      <c r="U475" s="78"/>
      <c r="V475" s="79"/>
    </row>
    <row r="476">
      <c r="A476" s="13"/>
      <c r="B476" s="13"/>
      <c r="C476" s="70"/>
      <c r="D476" s="70"/>
      <c r="E476" s="70"/>
      <c r="F476" s="70"/>
      <c r="O476" s="94"/>
      <c r="P476" s="23"/>
      <c r="Q476" s="78"/>
      <c r="R476" s="78"/>
      <c r="S476" s="78"/>
      <c r="T476" s="78"/>
      <c r="U476" s="78"/>
      <c r="V476" s="79"/>
    </row>
    <row r="477">
      <c r="A477" s="13"/>
      <c r="B477" s="13"/>
      <c r="C477" s="70"/>
      <c r="D477" s="70"/>
      <c r="E477" s="70"/>
      <c r="F477" s="70"/>
      <c r="O477" s="94"/>
      <c r="P477" s="23"/>
      <c r="Q477" s="78"/>
      <c r="R477" s="78"/>
      <c r="S477" s="78"/>
      <c r="T477" s="78"/>
      <c r="U477" s="78"/>
      <c r="V477" s="79"/>
    </row>
    <row r="478">
      <c r="A478" s="13"/>
      <c r="B478" s="13"/>
      <c r="C478" s="70"/>
      <c r="D478" s="70"/>
      <c r="E478" s="70"/>
      <c r="F478" s="70"/>
      <c r="O478" s="94"/>
      <c r="P478" s="23"/>
      <c r="Q478" s="78"/>
      <c r="R478" s="78"/>
      <c r="S478" s="78"/>
      <c r="T478" s="78"/>
      <c r="U478" s="78"/>
      <c r="V478" s="79"/>
    </row>
    <row r="479">
      <c r="A479" s="13"/>
      <c r="B479" s="13"/>
      <c r="C479" s="70"/>
      <c r="D479" s="70"/>
      <c r="E479" s="70"/>
      <c r="F479" s="70"/>
      <c r="O479" s="94"/>
      <c r="P479" s="23"/>
      <c r="Q479" s="78"/>
      <c r="R479" s="78"/>
      <c r="S479" s="78"/>
      <c r="T479" s="78"/>
      <c r="U479" s="78"/>
      <c r="V479" s="79"/>
    </row>
    <row r="480">
      <c r="A480" s="13"/>
      <c r="B480" s="13"/>
      <c r="C480" s="70"/>
      <c r="D480" s="70"/>
      <c r="E480" s="70"/>
      <c r="F480" s="70"/>
      <c r="O480" s="94"/>
      <c r="P480" s="23"/>
      <c r="Q480" s="78"/>
      <c r="R480" s="78"/>
      <c r="S480" s="78"/>
      <c r="T480" s="78"/>
      <c r="U480" s="78"/>
      <c r="V480" s="79"/>
    </row>
    <row r="481">
      <c r="A481" s="13"/>
      <c r="B481" s="13"/>
      <c r="C481" s="70"/>
      <c r="D481" s="70"/>
      <c r="E481" s="70"/>
      <c r="F481" s="70"/>
      <c r="O481" s="94"/>
      <c r="P481" s="23"/>
      <c r="Q481" s="78"/>
      <c r="R481" s="78"/>
      <c r="S481" s="78"/>
      <c r="T481" s="78"/>
      <c r="U481" s="78"/>
      <c r="V481" s="79"/>
    </row>
    <row r="482">
      <c r="A482" s="13"/>
      <c r="B482" s="13"/>
      <c r="C482" s="70"/>
      <c r="D482" s="70"/>
      <c r="E482" s="70"/>
      <c r="F482" s="70"/>
      <c r="O482" s="94"/>
      <c r="P482" s="23"/>
      <c r="Q482" s="78"/>
      <c r="R482" s="78"/>
      <c r="S482" s="78"/>
      <c r="T482" s="78"/>
      <c r="U482" s="78"/>
      <c r="V482" s="79"/>
    </row>
    <row r="483">
      <c r="A483" s="13"/>
      <c r="B483" s="13"/>
      <c r="C483" s="70"/>
      <c r="D483" s="70"/>
      <c r="E483" s="70"/>
      <c r="F483" s="70"/>
      <c r="O483" s="94"/>
      <c r="P483" s="23"/>
      <c r="Q483" s="78"/>
      <c r="R483" s="78"/>
      <c r="S483" s="78"/>
      <c r="T483" s="78"/>
      <c r="U483" s="78"/>
      <c r="V483" s="79"/>
    </row>
    <row r="484">
      <c r="A484" s="13"/>
      <c r="B484" s="13"/>
      <c r="C484" s="70"/>
      <c r="D484" s="70"/>
      <c r="E484" s="70"/>
      <c r="F484" s="70"/>
      <c r="O484" s="94"/>
      <c r="P484" s="23"/>
      <c r="Q484" s="78"/>
      <c r="R484" s="78"/>
      <c r="S484" s="78"/>
      <c r="T484" s="78"/>
      <c r="U484" s="78"/>
      <c r="V484" s="79"/>
    </row>
    <row r="485">
      <c r="A485" s="13"/>
      <c r="B485" s="13"/>
      <c r="C485" s="70"/>
      <c r="D485" s="70"/>
      <c r="E485" s="70"/>
      <c r="F485" s="70"/>
      <c r="O485" s="94"/>
      <c r="P485" s="23"/>
      <c r="Q485" s="78"/>
      <c r="R485" s="78"/>
      <c r="S485" s="78"/>
      <c r="T485" s="78"/>
      <c r="U485" s="78"/>
      <c r="V485" s="79"/>
    </row>
    <row r="486">
      <c r="A486" s="13"/>
      <c r="B486" s="13"/>
      <c r="C486" s="70"/>
      <c r="D486" s="70"/>
      <c r="E486" s="70"/>
      <c r="F486" s="70"/>
      <c r="O486" s="94"/>
      <c r="P486" s="23"/>
      <c r="Q486" s="78"/>
      <c r="R486" s="78"/>
      <c r="S486" s="78"/>
      <c r="T486" s="78"/>
      <c r="U486" s="78"/>
      <c r="V486" s="79"/>
    </row>
    <row r="487">
      <c r="A487" s="13"/>
      <c r="B487" s="13"/>
      <c r="C487" s="70"/>
      <c r="D487" s="70"/>
      <c r="E487" s="70"/>
      <c r="F487" s="70"/>
      <c r="O487" s="94"/>
      <c r="P487" s="23"/>
      <c r="Q487" s="78"/>
      <c r="R487" s="78"/>
      <c r="S487" s="78"/>
      <c r="T487" s="78"/>
      <c r="U487" s="78"/>
      <c r="V487" s="79"/>
    </row>
    <row r="488">
      <c r="A488" s="13"/>
      <c r="B488" s="13"/>
      <c r="C488" s="70"/>
      <c r="D488" s="70"/>
      <c r="E488" s="70"/>
      <c r="F488" s="70"/>
      <c r="O488" s="94"/>
      <c r="P488" s="23"/>
      <c r="Q488" s="78"/>
      <c r="R488" s="78"/>
      <c r="S488" s="78"/>
      <c r="T488" s="78"/>
      <c r="U488" s="78"/>
      <c r="V488" s="79"/>
    </row>
    <row r="489">
      <c r="A489" s="13"/>
      <c r="B489" s="13"/>
      <c r="C489" s="70"/>
      <c r="D489" s="70"/>
      <c r="E489" s="70"/>
      <c r="F489" s="70"/>
      <c r="O489" s="94"/>
      <c r="P489" s="23"/>
      <c r="Q489" s="78"/>
      <c r="R489" s="78"/>
      <c r="S489" s="78"/>
      <c r="T489" s="78"/>
      <c r="U489" s="78"/>
      <c r="V489" s="79"/>
    </row>
    <row r="490">
      <c r="A490" s="13"/>
      <c r="B490" s="13"/>
      <c r="C490" s="70"/>
      <c r="D490" s="70"/>
      <c r="E490" s="70"/>
      <c r="F490" s="70"/>
      <c r="O490" s="94"/>
      <c r="P490" s="23"/>
      <c r="Q490" s="78"/>
      <c r="R490" s="78"/>
      <c r="S490" s="78"/>
      <c r="T490" s="78"/>
      <c r="U490" s="78"/>
      <c r="V490" s="79"/>
    </row>
    <row r="491">
      <c r="A491" s="13"/>
      <c r="B491" s="13"/>
      <c r="C491" s="70"/>
      <c r="D491" s="70"/>
      <c r="E491" s="70"/>
      <c r="F491" s="70"/>
      <c r="O491" s="94"/>
      <c r="P491" s="23"/>
      <c r="Q491" s="78"/>
      <c r="R491" s="78"/>
      <c r="S491" s="78"/>
      <c r="T491" s="78"/>
      <c r="U491" s="78"/>
      <c r="V491" s="79"/>
    </row>
    <row r="492">
      <c r="A492" s="13"/>
      <c r="B492" s="13"/>
      <c r="C492" s="70"/>
      <c r="D492" s="70"/>
      <c r="E492" s="70"/>
      <c r="F492" s="70"/>
      <c r="O492" s="94"/>
      <c r="P492" s="23"/>
      <c r="Q492" s="78"/>
      <c r="R492" s="78"/>
      <c r="S492" s="78"/>
      <c r="T492" s="78"/>
      <c r="U492" s="78"/>
      <c r="V492" s="79"/>
    </row>
    <row r="493">
      <c r="A493" s="13"/>
      <c r="B493" s="13"/>
      <c r="C493" s="70"/>
      <c r="D493" s="70"/>
      <c r="E493" s="70"/>
      <c r="F493" s="70"/>
      <c r="O493" s="94"/>
      <c r="P493" s="23"/>
      <c r="Q493" s="78"/>
      <c r="R493" s="78"/>
      <c r="S493" s="78"/>
      <c r="T493" s="78"/>
      <c r="U493" s="78"/>
      <c r="V493" s="79"/>
    </row>
    <row r="494">
      <c r="A494" s="13"/>
      <c r="B494" s="13"/>
      <c r="C494" s="70"/>
      <c r="D494" s="70"/>
      <c r="E494" s="70"/>
      <c r="F494" s="70"/>
      <c r="O494" s="94"/>
      <c r="P494" s="23"/>
      <c r="Q494" s="78"/>
      <c r="R494" s="78"/>
      <c r="S494" s="78"/>
      <c r="T494" s="78"/>
      <c r="U494" s="78"/>
      <c r="V494" s="79"/>
    </row>
    <row r="495">
      <c r="A495" s="13"/>
      <c r="B495" s="13"/>
      <c r="C495" s="70"/>
      <c r="D495" s="70"/>
      <c r="E495" s="70"/>
      <c r="F495" s="70"/>
      <c r="O495" s="94"/>
      <c r="P495" s="23"/>
      <c r="Q495" s="78"/>
      <c r="R495" s="78"/>
      <c r="S495" s="78"/>
      <c r="T495" s="78"/>
      <c r="U495" s="78"/>
      <c r="V495" s="79"/>
    </row>
    <row r="496">
      <c r="A496" s="13"/>
      <c r="B496" s="13"/>
      <c r="C496" s="70"/>
      <c r="D496" s="70"/>
      <c r="E496" s="70"/>
      <c r="F496" s="70"/>
      <c r="O496" s="94"/>
      <c r="P496" s="23"/>
      <c r="Q496" s="78"/>
      <c r="R496" s="78"/>
      <c r="S496" s="78"/>
      <c r="T496" s="78"/>
      <c r="U496" s="78"/>
      <c r="V496" s="79"/>
    </row>
    <row r="497">
      <c r="A497" s="13"/>
      <c r="B497" s="13"/>
      <c r="C497" s="70"/>
      <c r="D497" s="70"/>
      <c r="E497" s="70"/>
      <c r="F497" s="70"/>
      <c r="O497" s="94"/>
      <c r="P497" s="23"/>
      <c r="Q497" s="78"/>
      <c r="R497" s="78"/>
      <c r="S497" s="78"/>
      <c r="T497" s="78"/>
      <c r="U497" s="78"/>
      <c r="V497" s="79"/>
    </row>
    <row r="498">
      <c r="A498" s="13"/>
      <c r="B498" s="13"/>
      <c r="C498" s="70"/>
      <c r="D498" s="70"/>
      <c r="E498" s="70"/>
      <c r="F498" s="70"/>
      <c r="O498" s="94"/>
      <c r="P498" s="23"/>
      <c r="Q498" s="78"/>
      <c r="R498" s="78"/>
      <c r="S498" s="78"/>
      <c r="T498" s="78"/>
      <c r="U498" s="78"/>
      <c r="V498" s="79"/>
    </row>
    <row r="499">
      <c r="A499" s="13"/>
      <c r="B499" s="13"/>
      <c r="C499" s="70"/>
      <c r="D499" s="70"/>
      <c r="E499" s="70"/>
      <c r="F499" s="70"/>
      <c r="O499" s="94"/>
      <c r="P499" s="23"/>
      <c r="Q499" s="78"/>
      <c r="R499" s="78"/>
      <c r="S499" s="78"/>
      <c r="T499" s="78"/>
      <c r="U499" s="78"/>
      <c r="V499" s="79"/>
    </row>
    <row r="500">
      <c r="A500" s="13"/>
      <c r="B500" s="13"/>
      <c r="C500" s="70"/>
      <c r="D500" s="70"/>
      <c r="E500" s="70"/>
      <c r="F500" s="70"/>
      <c r="O500" s="94"/>
      <c r="P500" s="23"/>
      <c r="Q500" s="78"/>
      <c r="R500" s="78"/>
      <c r="S500" s="78"/>
      <c r="T500" s="78"/>
      <c r="U500" s="78"/>
      <c r="V500" s="79"/>
    </row>
    <row r="501">
      <c r="A501" s="13"/>
      <c r="B501" s="13"/>
      <c r="C501" s="70"/>
      <c r="D501" s="70"/>
      <c r="E501" s="70"/>
      <c r="F501" s="70"/>
      <c r="O501" s="94"/>
      <c r="P501" s="23"/>
      <c r="Q501" s="78"/>
      <c r="R501" s="78"/>
      <c r="S501" s="78"/>
      <c r="T501" s="78"/>
      <c r="U501" s="78"/>
      <c r="V501" s="79"/>
    </row>
    <row r="502">
      <c r="A502" s="13"/>
      <c r="B502" s="13"/>
      <c r="C502" s="70"/>
      <c r="D502" s="70"/>
      <c r="E502" s="70"/>
      <c r="F502" s="70"/>
      <c r="O502" s="94"/>
      <c r="P502" s="23"/>
      <c r="Q502" s="78"/>
      <c r="R502" s="78"/>
      <c r="S502" s="78"/>
      <c r="T502" s="78"/>
      <c r="U502" s="78"/>
      <c r="V502" s="79"/>
    </row>
    <row r="503">
      <c r="A503" s="13"/>
      <c r="B503" s="13"/>
      <c r="C503" s="70"/>
      <c r="D503" s="70"/>
      <c r="E503" s="70"/>
      <c r="F503" s="70"/>
      <c r="O503" s="94"/>
      <c r="P503" s="23"/>
      <c r="Q503" s="78"/>
      <c r="R503" s="78"/>
      <c r="S503" s="78"/>
      <c r="T503" s="78"/>
      <c r="U503" s="78"/>
      <c r="V503" s="79"/>
    </row>
    <row r="504">
      <c r="A504" s="13"/>
      <c r="B504" s="13"/>
      <c r="C504" s="70"/>
      <c r="D504" s="70"/>
      <c r="E504" s="70"/>
      <c r="F504" s="70"/>
      <c r="O504" s="94"/>
      <c r="P504" s="23"/>
      <c r="Q504" s="78"/>
      <c r="R504" s="78"/>
      <c r="S504" s="78"/>
      <c r="T504" s="78"/>
      <c r="U504" s="78"/>
      <c r="V504" s="79"/>
    </row>
    <row r="505">
      <c r="A505" s="13"/>
      <c r="B505" s="13"/>
      <c r="C505" s="70"/>
      <c r="D505" s="70"/>
      <c r="E505" s="70"/>
      <c r="F505" s="70"/>
      <c r="O505" s="94"/>
      <c r="P505" s="23"/>
      <c r="Q505" s="78"/>
      <c r="R505" s="78"/>
      <c r="S505" s="78"/>
      <c r="T505" s="78"/>
      <c r="U505" s="78"/>
      <c r="V505" s="79"/>
    </row>
    <row r="506">
      <c r="A506" s="13"/>
      <c r="B506" s="13"/>
      <c r="C506" s="70"/>
      <c r="D506" s="70"/>
      <c r="E506" s="70"/>
      <c r="F506" s="70"/>
      <c r="O506" s="94"/>
      <c r="P506" s="23"/>
      <c r="Q506" s="78"/>
      <c r="R506" s="78"/>
      <c r="S506" s="78"/>
      <c r="T506" s="78"/>
      <c r="U506" s="78"/>
      <c r="V506" s="79"/>
    </row>
    <row r="507">
      <c r="A507" s="13"/>
      <c r="B507" s="13"/>
      <c r="C507" s="70"/>
      <c r="D507" s="70"/>
      <c r="E507" s="70"/>
      <c r="F507" s="70"/>
      <c r="O507" s="94"/>
      <c r="P507" s="23"/>
      <c r="Q507" s="78"/>
      <c r="R507" s="78"/>
      <c r="S507" s="78"/>
      <c r="T507" s="78"/>
      <c r="U507" s="78"/>
      <c r="V507" s="79"/>
    </row>
    <row r="508">
      <c r="A508" s="13"/>
      <c r="B508" s="13"/>
      <c r="C508" s="70"/>
      <c r="D508" s="70"/>
      <c r="E508" s="70"/>
      <c r="F508" s="70"/>
      <c r="O508" s="94"/>
      <c r="P508" s="23"/>
      <c r="Q508" s="78"/>
      <c r="R508" s="78"/>
      <c r="S508" s="78"/>
      <c r="T508" s="78"/>
      <c r="U508" s="78"/>
      <c r="V508" s="79"/>
    </row>
    <row r="509">
      <c r="A509" s="13"/>
      <c r="B509" s="13"/>
      <c r="C509" s="70"/>
      <c r="D509" s="70"/>
      <c r="E509" s="70"/>
      <c r="F509" s="70"/>
      <c r="O509" s="94"/>
      <c r="P509" s="23"/>
      <c r="Q509" s="78"/>
      <c r="R509" s="78"/>
      <c r="S509" s="78"/>
      <c r="T509" s="78"/>
      <c r="U509" s="78"/>
      <c r="V509" s="79"/>
    </row>
    <row r="510">
      <c r="A510" s="13"/>
      <c r="B510" s="13"/>
      <c r="C510" s="70"/>
      <c r="D510" s="70"/>
      <c r="E510" s="70"/>
      <c r="F510" s="70"/>
      <c r="O510" s="94"/>
      <c r="P510" s="23"/>
      <c r="Q510" s="78"/>
      <c r="R510" s="78"/>
      <c r="S510" s="78"/>
      <c r="T510" s="78"/>
      <c r="U510" s="78"/>
      <c r="V510" s="79"/>
    </row>
    <row r="511">
      <c r="A511" s="13"/>
      <c r="B511" s="13"/>
      <c r="C511" s="70"/>
      <c r="D511" s="70"/>
      <c r="E511" s="70"/>
      <c r="F511" s="70"/>
      <c r="O511" s="94"/>
      <c r="P511" s="23"/>
      <c r="Q511" s="78"/>
      <c r="R511" s="78"/>
      <c r="S511" s="78"/>
      <c r="T511" s="78"/>
      <c r="U511" s="78"/>
      <c r="V511" s="79"/>
    </row>
    <row r="512">
      <c r="A512" s="13"/>
      <c r="B512" s="13"/>
      <c r="C512" s="70"/>
      <c r="D512" s="70"/>
      <c r="E512" s="70"/>
      <c r="F512" s="70"/>
      <c r="O512" s="94"/>
      <c r="P512" s="23"/>
      <c r="Q512" s="78"/>
      <c r="R512" s="78"/>
      <c r="S512" s="78"/>
      <c r="T512" s="78"/>
      <c r="U512" s="78"/>
      <c r="V512" s="79"/>
    </row>
    <row r="513">
      <c r="A513" s="13"/>
      <c r="B513" s="13"/>
      <c r="C513" s="70"/>
      <c r="D513" s="70"/>
      <c r="E513" s="70"/>
      <c r="F513" s="70"/>
      <c r="O513" s="94"/>
      <c r="P513" s="23"/>
      <c r="Q513" s="78"/>
      <c r="R513" s="78"/>
      <c r="S513" s="78"/>
      <c r="T513" s="78"/>
      <c r="U513" s="78"/>
      <c r="V513" s="79"/>
    </row>
    <row r="514">
      <c r="A514" s="13"/>
      <c r="B514" s="13"/>
      <c r="C514" s="70"/>
      <c r="D514" s="70"/>
      <c r="E514" s="70"/>
      <c r="F514" s="70"/>
      <c r="O514" s="94"/>
      <c r="P514" s="23"/>
      <c r="Q514" s="78"/>
      <c r="R514" s="78"/>
      <c r="S514" s="78"/>
      <c r="T514" s="78"/>
      <c r="U514" s="78"/>
      <c r="V514" s="79"/>
    </row>
    <row r="515">
      <c r="A515" s="13"/>
      <c r="B515" s="13"/>
      <c r="C515" s="70"/>
      <c r="D515" s="70"/>
      <c r="E515" s="70"/>
      <c r="F515" s="70"/>
      <c r="O515" s="94"/>
      <c r="P515" s="23"/>
      <c r="Q515" s="78"/>
      <c r="R515" s="78"/>
      <c r="S515" s="78"/>
      <c r="T515" s="78"/>
      <c r="U515" s="78"/>
      <c r="V515" s="79"/>
    </row>
    <row r="516">
      <c r="A516" s="13"/>
      <c r="B516" s="13"/>
      <c r="C516" s="70"/>
      <c r="D516" s="70"/>
      <c r="E516" s="70"/>
      <c r="F516" s="70"/>
      <c r="O516" s="94"/>
      <c r="P516" s="23"/>
      <c r="Q516" s="78"/>
      <c r="R516" s="78"/>
      <c r="S516" s="78"/>
      <c r="T516" s="78"/>
      <c r="U516" s="78"/>
      <c r="V516" s="79"/>
    </row>
    <row r="517">
      <c r="A517" s="13"/>
      <c r="B517" s="13"/>
      <c r="C517" s="70"/>
      <c r="D517" s="70"/>
      <c r="E517" s="70"/>
      <c r="F517" s="70"/>
      <c r="O517" s="94"/>
      <c r="P517" s="23"/>
      <c r="Q517" s="78"/>
      <c r="R517" s="78"/>
      <c r="S517" s="78"/>
      <c r="T517" s="78"/>
      <c r="U517" s="78"/>
      <c r="V517" s="79"/>
    </row>
    <row r="518">
      <c r="A518" s="13"/>
      <c r="B518" s="13"/>
      <c r="C518" s="70"/>
      <c r="D518" s="70"/>
      <c r="E518" s="70"/>
      <c r="F518" s="70"/>
      <c r="O518" s="94"/>
      <c r="P518" s="23"/>
      <c r="Q518" s="78"/>
      <c r="R518" s="78"/>
      <c r="S518" s="78"/>
      <c r="T518" s="78"/>
      <c r="U518" s="78"/>
      <c r="V518" s="79"/>
    </row>
    <row r="519">
      <c r="A519" s="13"/>
      <c r="B519" s="13"/>
      <c r="C519" s="70"/>
      <c r="D519" s="70"/>
      <c r="E519" s="70"/>
      <c r="F519" s="70"/>
      <c r="O519" s="94"/>
      <c r="P519" s="23"/>
      <c r="Q519" s="78"/>
      <c r="R519" s="78"/>
      <c r="S519" s="78"/>
      <c r="T519" s="78"/>
      <c r="U519" s="78"/>
      <c r="V519" s="79"/>
    </row>
    <row r="520">
      <c r="A520" s="13"/>
      <c r="B520" s="13"/>
      <c r="C520" s="70"/>
      <c r="D520" s="70"/>
      <c r="E520" s="70"/>
      <c r="F520" s="70"/>
      <c r="O520" s="94"/>
      <c r="P520" s="23"/>
      <c r="Q520" s="78"/>
      <c r="R520" s="78"/>
      <c r="S520" s="78"/>
      <c r="T520" s="78"/>
      <c r="U520" s="78"/>
      <c r="V520" s="79"/>
    </row>
    <row r="521">
      <c r="A521" s="13"/>
      <c r="B521" s="13"/>
      <c r="C521" s="70"/>
      <c r="D521" s="70"/>
      <c r="E521" s="70"/>
      <c r="F521" s="70"/>
      <c r="O521" s="94"/>
      <c r="P521" s="23"/>
      <c r="Q521" s="78"/>
      <c r="R521" s="78"/>
      <c r="S521" s="78"/>
      <c r="T521" s="78"/>
      <c r="U521" s="78"/>
      <c r="V521" s="79"/>
    </row>
    <row r="522">
      <c r="A522" s="13"/>
      <c r="B522" s="13"/>
      <c r="C522" s="70"/>
      <c r="D522" s="70"/>
      <c r="E522" s="70"/>
      <c r="F522" s="70"/>
      <c r="O522" s="94"/>
      <c r="P522" s="23"/>
      <c r="Q522" s="78"/>
      <c r="R522" s="78"/>
      <c r="S522" s="78"/>
      <c r="T522" s="78"/>
      <c r="U522" s="78"/>
      <c r="V522" s="79"/>
    </row>
    <row r="523">
      <c r="A523" s="13"/>
      <c r="B523" s="13"/>
      <c r="C523" s="70"/>
      <c r="D523" s="70"/>
      <c r="E523" s="70"/>
      <c r="F523" s="70"/>
      <c r="O523" s="94"/>
      <c r="P523" s="23"/>
      <c r="Q523" s="78"/>
      <c r="R523" s="78"/>
      <c r="S523" s="78"/>
      <c r="T523" s="78"/>
      <c r="U523" s="78"/>
      <c r="V523" s="79"/>
    </row>
    <row r="524">
      <c r="A524" s="13"/>
      <c r="B524" s="13"/>
      <c r="C524" s="70"/>
      <c r="D524" s="70"/>
      <c r="E524" s="70"/>
      <c r="F524" s="70"/>
      <c r="O524" s="94"/>
      <c r="P524" s="23"/>
      <c r="Q524" s="78"/>
      <c r="R524" s="78"/>
      <c r="S524" s="78"/>
      <c r="T524" s="78"/>
      <c r="U524" s="78"/>
      <c r="V524" s="79"/>
    </row>
    <row r="525">
      <c r="A525" s="13"/>
      <c r="B525" s="13"/>
      <c r="C525" s="70"/>
      <c r="D525" s="70"/>
      <c r="E525" s="70"/>
      <c r="F525" s="70"/>
      <c r="O525" s="94"/>
      <c r="P525" s="23"/>
      <c r="Q525" s="78"/>
      <c r="R525" s="78"/>
      <c r="S525" s="78"/>
      <c r="T525" s="78"/>
      <c r="U525" s="78"/>
      <c r="V525" s="79"/>
    </row>
    <row r="526">
      <c r="A526" s="13"/>
      <c r="B526" s="13"/>
      <c r="C526" s="70"/>
      <c r="D526" s="70"/>
      <c r="E526" s="70"/>
      <c r="F526" s="70"/>
      <c r="O526" s="94"/>
      <c r="P526" s="23"/>
      <c r="Q526" s="78"/>
      <c r="R526" s="78"/>
      <c r="S526" s="78"/>
      <c r="T526" s="78"/>
      <c r="U526" s="78"/>
      <c r="V526" s="79"/>
    </row>
    <row r="527">
      <c r="A527" s="13"/>
      <c r="B527" s="13"/>
      <c r="C527" s="70"/>
      <c r="D527" s="70"/>
      <c r="E527" s="70"/>
      <c r="F527" s="70"/>
      <c r="O527" s="94"/>
      <c r="P527" s="23"/>
      <c r="Q527" s="78"/>
      <c r="R527" s="78"/>
      <c r="S527" s="78"/>
      <c r="T527" s="78"/>
      <c r="U527" s="78"/>
      <c r="V527" s="79"/>
    </row>
    <row r="528">
      <c r="A528" s="13"/>
      <c r="B528" s="13"/>
      <c r="C528" s="70"/>
      <c r="D528" s="70"/>
      <c r="E528" s="70"/>
      <c r="F528" s="70"/>
      <c r="O528" s="94"/>
      <c r="P528" s="23"/>
      <c r="Q528" s="78"/>
      <c r="R528" s="78"/>
      <c r="S528" s="78"/>
      <c r="T528" s="78"/>
      <c r="U528" s="78"/>
      <c r="V528" s="79"/>
    </row>
    <row r="529">
      <c r="A529" s="13"/>
      <c r="B529" s="13"/>
      <c r="C529" s="70"/>
      <c r="D529" s="70"/>
      <c r="E529" s="70"/>
      <c r="F529" s="70"/>
      <c r="O529" s="94"/>
      <c r="P529" s="23"/>
      <c r="Q529" s="78"/>
      <c r="R529" s="78"/>
      <c r="S529" s="78"/>
      <c r="T529" s="78"/>
      <c r="U529" s="78"/>
      <c r="V529" s="79"/>
    </row>
    <row r="530">
      <c r="A530" s="13"/>
      <c r="B530" s="13"/>
      <c r="C530" s="70"/>
      <c r="D530" s="70"/>
      <c r="E530" s="70"/>
      <c r="F530" s="70"/>
      <c r="O530" s="94"/>
      <c r="P530" s="23"/>
      <c r="Q530" s="78"/>
      <c r="R530" s="78"/>
      <c r="S530" s="78"/>
      <c r="T530" s="78"/>
      <c r="U530" s="78"/>
      <c r="V530" s="79"/>
    </row>
    <row r="531">
      <c r="A531" s="13"/>
      <c r="B531" s="13"/>
      <c r="C531" s="70"/>
      <c r="D531" s="70"/>
      <c r="E531" s="70"/>
      <c r="F531" s="70"/>
      <c r="O531" s="94"/>
      <c r="P531" s="23"/>
      <c r="Q531" s="78"/>
      <c r="R531" s="78"/>
      <c r="S531" s="78"/>
      <c r="T531" s="78"/>
      <c r="U531" s="78"/>
      <c r="V531" s="79"/>
    </row>
    <row r="532">
      <c r="A532" s="13"/>
      <c r="B532" s="13"/>
      <c r="C532" s="70"/>
      <c r="D532" s="70"/>
      <c r="E532" s="70"/>
      <c r="F532" s="70"/>
      <c r="O532" s="94"/>
      <c r="P532" s="23"/>
      <c r="Q532" s="78"/>
      <c r="R532" s="78"/>
      <c r="S532" s="78"/>
      <c r="T532" s="78"/>
      <c r="U532" s="78"/>
      <c r="V532" s="79"/>
    </row>
    <row r="533">
      <c r="A533" s="13"/>
      <c r="B533" s="13"/>
      <c r="C533" s="70"/>
      <c r="D533" s="70"/>
      <c r="E533" s="70"/>
      <c r="F533" s="70"/>
      <c r="O533" s="94"/>
      <c r="P533" s="23"/>
      <c r="Q533" s="78"/>
      <c r="R533" s="78"/>
      <c r="S533" s="78"/>
      <c r="T533" s="78"/>
      <c r="U533" s="78"/>
      <c r="V533" s="79"/>
    </row>
    <row r="534">
      <c r="A534" s="13"/>
      <c r="B534" s="13"/>
      <c r="C534" s="70"/>
      <c r="D534" s="70"/>
      <c r="E534" s="70"/>
      <c r="F534" s="70"/>
      <c r="O534" s="94"/>
      <c r="P534" s="23"/>
      <c r="Q534" s="78"/>
      <c r="R534" s="78"/>
      <c r="S534" s="78"/>
      <c r="T534" s="78"/>
      <c r="U534" s="78"/>
      <c r="V534" s="79"/>
    </row>
    <row r="535">
      <c r="A535" s="13"/>
      <c r="B535" s="13"/>
      <c r="C535" s="70"/>
      <c r="D535" s="70"/>
      <c r="E535" s="70"/>
      <c r="F535" s="70"/>
      <c r="O535" s="94"/>
      <c r="P535" s="23"/>
      <c r="Q535" s="78"/>
      <c r="R535" s="78"/>
      <c r="S535" s="78"/>
      <c r="T535" s="78"/>
      <c r="U535" s="78"/>
      <c r="V535" s="79"/>
    </row>
    <row r="536">
      <c r="A536" s="13"/>
      <c r="B536" s="13"/>
      <c r="C536" s="70"/>
      <c r="D536" s="70"/>
      <c r="E536" s="70"/>
      <c r="F536" s="70"/>
      <c r="O536" s="94"/>
      <c r="P536" s="23"/>
      <c r="Q536" s="78"/>
      <c r="R536" s="78"/>
      <c r="S536" s="78"/>
      <c r="T536" s="78"/>
      <c r="U536" s="78"/>
      <c r="V536" s="79"/>
    </row>
    <row r="537">
      <c r="A537" s="13"/>
      <c r="B537" s="13"/>
      <c r="C537" s="70"/>
      <c r="D537" s="70"/>
      <c r="E537" s="70"/>
      <c r="F537" s="70"/>
      <c r="O537" s="94"/>
      <c r="P537" s="23"/>
      <c r="Q537" s="78"/>
      <c r="R537" s="78"/>
      <c r="S537" s="78"/>
      <c r="T537" s="78"/>
      <c r="U537" s="78"/>
      <c r="V537" s="79"/>
    </row>
    <row r="538">
      <c r="A538" s="13"/>
      <c r="B538" s="13"/>
      <c r="C538" s="70"/>
      <c r="D538" s="70"/>
      <c r="E538" s="70"/>
      <c r="F538" s="70"/>
      <c r="O538" s="94"/>
      <c r="P538" s="23"/>
      <c r="Q538" s="78"/>
      <c r="R538" s="78"/>
      <c r="S538" s="78"/>
      <c r="T538" s="78"/>
      <c r="U538" s="78"/>
      <c r="V538" s="79"/>
    </row>
    <row r="539">
      <c r="A539" s="13"/>
      <c r="B539" s="13"/>
      <c r="C539" s="70"/>
      <c r="D539" s="70"/>
      <c r="E539" s="70"/>
      <c r="F539" s="70"/>
      <c r="O539" s="94"/>
      <c r="P539" s="23"/>
      <c r="Q539" s="78"/>
      <c r="R539" s="78"/>
      <c r="S539" s="78"/>
      <c r="T539" s="78"/>
      <c r="U539" s="78"/>
      <c r="V539" s="79"/>
    </row>
    <row r="540">
      <c r="A540" s="13"/>
      <c r="B540" s="13"/>
      <c r="C540" s="70"/>
      <c r="D540" s="70"/>
      <c r="E540" s="70"/>
      <c r="F540" s="70"/>
      <c r="O540" s="94"/>
      <c r="P540" s="23"/>
      <c r="Q540" s="78"/>
      <c r="R540" s="78"/>
      <c r="S540" s="78"/>
      <c r="T540" s="78"/>
      <c r="U540" s="78"/>
      <c r="V540" s="79"/>
    </row>
    <row r="541">
      <c r="A541" s="13"/>
      <c r="B541" s="13"/>
      <c r="C541" s="70"/>
      <c r="D541" s="70"/>
      <c r="E541" s="70"/>
      <c r="F541" s="70"/>
      <c r="O541" s="94"/>
      <c r="P541" s="23"/>
      <c r="Q541" s="78"/>
      <c r="R541" s="78"/>
      <c r="S541" s="78"/>
      <c r="T541" s="78"/>
      <c r="U541" s="78"/>
      <c r="V541" s="79"/>
    </row>
    <row r="542">
      <c r="A542" s="13"/>
      <c r="B542" s="13"/>
      <c r="C542" s="70"/>
      <c r="D542" s="70"/>
      <c r="E542" s="70"/>
      <c r="F542" s="70"/>
      <c r="O542" s="94"/>
      <c r="P542" s="23"/>
      <c r="Q542" s="78"/>
      <c r="R542" s="78"/>
      <c r="S542" s="78"/>
      <c r="T542" s="78"/>
      <c r="U542" s="78"/>
      <c r="V542" s="79"/>
    </row>
    <row r="543">
      <c r="A543" s="13"/>
      <c r="B543" s="13"/>
      <c r="C543" s="70"/>
      <c r="D543" s="70"/>
      <c r="E543" s="70"/>
      <c r="F543" s="70"/>
      <c r="O543" s="94"/>
      <c r="P543" s="23"/>
      <c r="Q543" s="78"/>
      <c r="R543" s="78"/>
      <c r="S543" s="78"/>
      <c r="T543" s="78"/>
      <c r="U543" s="78"/>
      <c r="V543" s="79"/>
    </row>
    <row r="544">
      <c r="A544" s="13"/>
      <c r="B544" s="13"/>
      <c r="C544" s="70"/>
      <c r="D544" s="70"/>
      <c r="E544" s="70"/>
      <c r="F544" s="70"/>
      <c r="O544" s="94"/>
      <c r="P544" s="23"/>
      <c r="Q544" s="78"/>
      <c r="R544" s="78"/>
      <c r="S544" s="78"/>
      <c r="T544" s="78"/>
      <c r="U544" s="78"/>
      <c r="V544" s="79"/>
    </row>
    <row r="545">
      <c r="A545" s="13"/>
      <c r="B545" s="13"/>
      <c r="C545" s="70"/>
      <c r="D545" s="70"/>
      <c r="E545" s="70"/>
      <c r="F545" s="70"/>
      <c r="O545" s="94"/>
      <c r="P545" s="23"/>
      <c r="Q545" s="78"/>
      <c r="R545" s="78"/>
      <c r="S545" s="78"/>
      <c r="T545" s="78"/>
      <c r="U545" s="78"/>
      <c r="V545" s="79"/>
    </row>
    <row r="546">
      <c r="A546" s="13"/>
      <c r="B546" s="13"/>
      <c r="C546" s="70"/>
      <c r="D546" s="70"/>
      <c r="E546" s="70"/>
      <c r="F546" s="70"/>
      <c r="O546" s="94"/>
      <c r="P546" s="23"/>
      <c r="Q546" s="78"/>
      <c r="R546" s="78"/>
      <c r="S546" s="78"/>
      <c r="T546" s="78"/>
      <c r="U546" s="78"/>
      <c r="V546" s="79"/>
    </row>
    <row r="547">
      <c r="A547" s="13"/>
      <c r="B547" s="13"/>
      <c r="C547" s="70"/>
      <c r="D547" s="70"/>
      <c r="E547" s="70"/>
      <c r="F547" s="70"/>
      <c r="O547" s="94"/>
      <c r="P547" s="23"/>
      <c r="Q547" s="78"/>
      <c r="R547" s="78"/>
      <c r="S547" s="78"/>
      <c r="T547" s="78"/>
      <c r="U547" s="78"/>
      <c r="V547" s="79"/>
    </row>
    <row r="548">
      <c r="A548" s="13"/>
      <c r="B548" s="13"/>
      <c r="C548" s="70"/>
      <c r="D548" s="70"/>
      <c r="E548" s="70"/>
      <c r="F548" s="70"/>
      <c r="O548" s="94"/>
      <c r="P548" s="23"/>
      <c r="Q548" s="78"/>
      <c r="R548" s="78"/>
      <c r="S548" s="78"/>
      <c r="T548" s="78"/>
      <c r="U548" s="78"/>
      <c r="V548" s="79"/>
    </row>
    <row r="549">
      <c r="A549" s="13"/>
      <c r="B549" s="13"/>
      <c r="C549" s="70"/>
      <c r="D549" s="70"/>
      <c r="E549" s="70"/>
      <c r="F549" s="70"/>
      <c r="O549" s="94"/>
      <c r="P549" s="23"/>
      <c r="Q549" s="78"/>
      <c r="R549" s="78"/>
      <c r="S549" s="78"/>
      <c r="T549" s="78"/>
      <c r="U549" s="78"/>
      <c r="V549" s="79"/>
    </row>
    <row r="550">
      <c r="A550" s="13"/>
      <c r="B550" s="13"/>
      <c r="C550" s="70"/>
      <c r="D550" s="70"/>
      <c r="E550" s="70"/>
      <c r="F550" s="70"/>
      <c r="O550" s="94"/>
      <c r="P550" s="23"/>
      <c r="Q550" s="78"/>
      <c r="R550" s="78"/>
      <c r="S550" s="78"/>
      <c r="T550" s="78"/>
      <c r="U550" s="78"/>
      <c r="V550" s="79"/>
    </row>
    <row r="551">
      <c r="A551" s="13"/>
      <c r="B551" s="13"/>
      <c r="C551" s="70"/>
      <c r="D551" s="70"/>
      <c r="E551" s="70"/>
      <c r="F551" s="70"/>
      <c r="O551" s="94"/>
      <c r="P551" s="23"/>
      <c r="Q551" s="78"/>
      <c r="R551" s="78"/>
      <c r="S551" s="78"/>
      <c r="T551" s="78"/>
      <c r="U551" s="78"/>
      <c r="V551" s="79"/>
    </row>
    <row r="552">
      <c r="A552" s="13"/>
      <c r="B552" s="13"/>
      <c r="C552" s="70"/>
      <c r="D552" s="70"/>
      <c r="E552" s="70"/>
      <c r="F552" s="70"/>
      <c r="O552" s="94"/>
      <c r="P552" s="23"/>
      <c r="Q552" s="78"/>
      <c r="R552" s="78"/>
      <c r="S552" s="78"/>
      <c r="T552" s="78"/>
      <c r="U552" s="78"/>
      <c r="V552" s="79"/>
    </row>
    <row r="553">
      <c r="A553" s="13"/>
      <c r="B553" s="13"/>
      <c r="C553" s="70"/>
      <c r="D553" s="70"/>
      <c r="E553" s="70"/>
      <c r="F553" s="70"/>
      <c r="O553" s="94"/>
      <c r="P553" s="23"/>
      <c r="Q553" s="78"/>
      <c r="R553" s="78"/>
      <c r="S553" s="78"/>
      <c r="T553" s="78"/>
      <c r="U553" s="78"/>
      <c r="V553" s="79"/>
    </row>
    <row r="554">
      <c r="A554" s="13"/>
      <c r="B554" s="13"/>
      <c r="C554" s="70"/>
      <c r="D554" s="70"/>
      <c r="E554" s="70"/>
      <c r="F554" s="70"/>
      <c r="O554" s="94"/>
      <c r="P554" s="23"/>
      <c r="Q554" s="78"/>
      <c r="R554" s="78"/>
      <c r="S554" s="78"/>
      <c r="T554" s="78"/>
      <c r="U554" s="78"/>
      <c r="V554" s="79"/>
    </row>
    <row r="555">
      <c r="A555" s="13"/>
      <c r="B555" s="13"/>
      <c r="C555" s="70"/>
      <c r="D555" s="70"/>
      <c r="E555" s="70"/>
      <c r="F555" s="70"/>
      <c r="O555" s="94"/>
      <c r="P555" s="23"/>
      <c r="Q555" s="78"/>
      <c r="R555" s="78"/>
      <c r="S555" s="78"/>
      <c r="T555" s="78"/>
      <c r="U555" s="78"/>
      <c r="V555" s="79"/>
    </row>
    <row r="556">
      <c r="A556" s="13"/>
      <c r="B556" s="13"/>
      <c r="C556" s="70"/>
      <c r="D556" s="70"/>
      <c r="E556" s="70"/>
      <c r="F556" s="70"/>
      <c r="O556" s="94"/>
      <c r="P556" s="23"/>
      <c r="Q556" s="78"/>
      <c r="R556" s="78"/>
      <c r="S556" s="78"/>
      <c r="T556" s="78"/>
      <c r="U556" s="78"/>
      <c r="V556" s="79"/>
    </row>
    <row r="557">
      <c r="A557" s="13"/>
      <c r="B557" s="13"/>
      <c r="C557" s="70"/>
      <c r="D557" s="70"/>
      <c r="E557" s="70"/>
      <c r="F557" s="70"/>
      <c r="O557" s="94"/>
      <c r="P557" s="23"/>
      <c r="Q557" s="78"/>
      <c r="R557" s="78"/>
      <c r="S557" s="78"/>
      <c r="T557" s="78"/>
      <c r="U557" s="78"/>
      <c r="V557" s="79"/>
    </row>
    <row r="558">
      <c r="A558" s="13"/>
      <c r="B558" s="13"/>
      <c r="C558" s="70"/>
      <c r="D558" s="70"/>
      <c r="E558" s="70"/>
      <c r="F558" s="70"/>
      <c r="O558" s="94"/>
      <c r="P558" s="23"/>
      <c r="Q558" s="78"/>
      <c r="R558" s="78"/>
      <c r="S558" s="78"/>
      <c r="T558" s="78"/>
      <c r="U558" s="78"/>
      <c r="V558" s="79"/>
    </row>
    <row r="559">
      <c r="A559" s="13"/>
      <c r="B559" s="13"/>
      <c r="C559" s="70"/>
      <c r="D559" s="70"/>
      <c r="E559" s="70"/>
      <c r="F559" s="70"/>
      <c r="O559" s="94"/>
      <c r="P559" s="23"/>
      <c r="Q559" s="78"/>
      <c r="R559" s="78"/>
      <c r="S559" s="78"/>
      <c r="T559" s="78"/>
      <c r="U559" s="78"/>
      <c r="V559" s="79"/>
    </row>
    <row r="560">
      <c r="A560" s="13"/>
      <c r="B560" s="13"/>
      <c r="C560" s="70"/>
      <c r="D560" s="70"/>
      <c r="E560" s="70"/>
      <c r="F560" s="70"/>
      <c r="O560" s="94"/>
      <c r="P560" s="23"/>
      <c r="Q560" s="78"/>
      <c r="R560" s="78"/>
      <c r="S560" s="78"/>
      <c r="T560" s="78"/>
      <c r="U560" s="78"/>
      <c r="V560" s="79"/>
    </row>
    <row r="561">
      <c r="A561" s="13"/>
      <c r="B561" s="13"/>
      <c r="C561" s="70"/>
      <c r="D561" s="70"/>
      <c r="E561" s="70"/>
      <c r="F561" s="70"/>
      <c r="O561" s="94"/>
      <c r="P561" s="23"/>
      <c r="Q561" s="78"/>
      <c r="R561" s="78"/>
      <c r="S561" s="78"/>
      <c r="T561" s="78"/>
      <c r="U561" s="78"/>
      <c r="V561" s="79"/>
    </row>
    <row r="562">
      <c r="A562" s="13"/>
      <c r="B562" s="13"/>
      <c r="C562" s="70"/>
      <c r="D562" s="70"/>
      <c r="E562" s="70"/>
      <c r="F562" s="70"/>
      <c r="O562" s="94"/>
      <c r="P562" s="23"/>
      <c r="Q562" s="78"/>
      <c r="R562" s="78"/>
      <c r="S562" s="78"/>
      <c r="T562" s="78"/>
      <c r="U562" s="78"/>
      <c r="V562" s="79"/>
    </row>
    <row r="563">
      <c r="A563" s="13"/>
      <c r="B563" s="13"/>
      <c r="C563" s="70"/>
      <c r="D563" s="70"/>
      <c r="E563" s="70"/>
      <c r="F563" s="70"/>
      <c r="O563" s="94"/>
      <c r="P563" s="23"/>
      <c r="Q563" s="78"/>
      <c r="R563" s="78"/>
      <c r="S563" s="78"/>
      <c r="T563" s="78"/>
      <c r="U563" s="78"/>
      <c r="V563" s="79"/>
    </row>
    <row r="564">
      <c r="A564" s="13"/>
      <c r="B564" s="13"/>
      <c r="C564" s="70"/>
      <c r="D564" s="70"/>
      <c r="E564" s="70"/>
      <c r="F564" s="70"/>
      <c r="O564" s="94"/>
      <c r="P564" s="23"/>
      <c r="Q564" s="78"/>
      <c r="R564" s="78"/>
      <c r="S564" s="78"/>
      <c r="T564" s="78"/>
      <c r="U564" s="78"/>
      <c r="V564" s="79"/>
    </row>
    <row r="565">
      <c r="A565" s="13"/>
      <c r="B565" s="13"/>
      <c r="C565" s="70"/>
      <c r="D565" s="70"/>
      <c r="E565" s="70"/>
      <c r="F565" s="70"/>
      <c r="O565" s="94"/>
      <c r="P565" s="23"/>
      <c r="Q565" s="78"/>
      <c r="R565" s="78"/>
      <c r="S565" s="78"/>
      <c r="T565" s="78"/>
      <c r="U565" s="78"/>
      <c r="V565" s="79"/>
    </row>
    <row r="566">
      <c r="A566" s="13"/>
      <c r="B566" s="13"/>
      <c r="C566" s="70"/>
      <c r="D566" s="70"/>
      <c r="E566" s="70"/>
      <c r="F566" s="70"/>
      <c r="O566" s="94"/>
      <c r="P566" s="23"/>
      <c r="Q566" s="78"/>
      <c r="R566" s="78"/>
      <c r="S566" s="78"/>
      <c r="T566" s="78"/>
      <c r="U566" s="78"/>
      <c r="V566" s="79"/>
    </row>
    <row r="567">
      <c r="A567" s="13"/>
      <c r="B567" s="13"/>
      <c r="C567" s="70"/>
      <c r="D567" s="70"/>
      <c r="E567" s="70"/>
      <c r="F567" s="70"/>
      <c r="O567" s="94"/>
      <c r="P567" s="23"/>
      <c r="Q567" s="78"/>
      <c r="R567" s="78"/>
      <c r="S567" s="78"/>
      <c r="T567" s="78"/>
      <c r="U567" s="78"/>
      <c r="V567" s="79"/>
    </row>
    <row r="568">
      <c r="A568" s="13"/>
      <c r="B568" s="13"/>
      <c r="C568" s="70"/>
      <c r="D568" s="70"/>
      <c r="E568" s="70"/>
      <c r="F568" s="70"/>
      <c r="O568" s="94"/>
      <c r="P568" s="23"/>
      <c r="Q568" s="78"/>
      <c r="R568" s="78"/>
      <c r="S568" s="78"/>
      <c r="T568" s="78"/>
      <c r="U568" s="78"/>
      <c r="V568" s="79"/>
    </row>
    <row r="569">
      <c r="A569" s="13"/>
      <c r="B569" s="13"/>
      <c r="C569" s="70"/>
      <c r="D569" s="70"/>
      <c r="E569" s="70"/>
      <c r="F569" s="70"/>
      <c r="O569" s="94"/>
      <c r="P569" s="23"/>
      <c r="Q569" s="78"/>
      <c r="R569" s="78"/>
      <c r="S569" s="78"/>
      <c r="T569" s="78"/>
      <c r="U569" s="78"/>
      <c r="V569" s="79"/>
    </row>
    <row r="570">
      <c r="A570" s="13"/>
      <c r="B570" s="13"/>
      <c r="C570" s="70"/>
      <c r="D570" s="70"/>
      <c r="E570" s="70"/>
      <c r="F570" s="70"/>
      <c r="O570" s="94"/>
      <c r="P570" s="23"/>
      <c r="Q570" s="78"/>
      <c r="R570" s="78"/>
      <c r="S570" s="78"/>
      <c r="T570" s="78"/>
      <c r="U570" s="78"/>
      <c r="V570" s="79"/>
    </row>
    <row r="571">
      <c r="A571" s="13"/>
      <c r="B571" s="13"/>
      <c r="C571" s="70"/>
      <c r="D571" s="70"/>
      <c r="E571" s="70"/>
      <c r="F571" s="70"/>
      <c r="O571" s="94"/>
      <c r="P571" s="23"/>
      <c r="Q571" s="78"/>
      <c r="R571" s="78"/>
      <c r="S571" s="78"/>
      <c r="T571" s="78"/>
      <c r="U571" s="78"/>
      <c r="V571" s="79"/>
    </row>
    <row r="572">
      <c r="A572" s="13"/>
      <c r="B572" s="13"/>
      <c r="C572" s="70"/>
      <c r="D572" s="70"/>
      <c r="E572" s="70"/>
      <c r="F572" s="70"/>
      <c r="O572" s="94"/>
      <c r="P572" s="23"/>
      <c r="Q572" s="78"/>
      <c r="R572" s="78"/>
      <c r="S572" s="78"/>
      <c r="T572" s="78"/>
      <c r="U572" s="78"/>
      <c r="V572" s="79"/>
    </row>
    <row r="573">
      <c r="A573" s="13"/>
      <c r="B573" s="13"/>
      <c r="C573" s="70"/>
      <c r="D573" s="70"/>
      <c r="E573" s="70"/>
      <c r="F573" s="70"/>
      <c r="O573" s="94"/>
      <c r="P573" s="23"/>
      <c r="Q573" s="78"/>
      <c r="R573" s="78"/>
      <c r="S573" s="78"/>
      <c r="T573" s="78"/>
      <c r="U573" s="78"/>
      <c r="V573" s="79"/>
    </row>
    <row r="574">
      <c r="A574" s="13"/>
      <c r="B574" s="13"/>
      <c r="C574" s="70"/>
      <c r="D574" s="70"/>
      <c r="E574" s="70"/>
      <c r="F574" s="70"/>
      <c r="O574" s="94"/>
      <c r="P574" s="23"/>
      <c r="Q574" s="78"/>
      <c r="R574" s="78"/>
      <c r="S574" s="78"/>
      <c r="T574" s="78"/>
      <c r="U574" s="78"/>
      <c r="V574" s="79"/>
    </row>
    <row r="575">
      <c r="A575" s="13"/>
      <c r="B575" s="13"/>
      <c r="C575" s="70"/>
      <c r="D575" s="70"/>
      <c r="E575" s="70"/>
      <c r="F575" s="70"/>
      <c r="O575" s="94"/>
      <c r="P575" s="23"/>
      <c r="Q575" s="78"/>
      <c r="R575" s="78"/>
      <c r="S575" s="78"/>
      <c r="T575" s="78"/>
      <c r="U575" s="78"/>
      <c r="V575" s="79"/>
    </row>
    <row r="576">
      <c r="A576" s="13"/>
      <c r="B576" s="13"/>
      <c r="C576" s="70"/>
      <c r="D576" s="70"/>
      <c r="E576" s="70"/>
      <c r="F576" s="70"/>
      <c r="O576" s="94"/>
      <c r="P576" s="23"/>
      <c r="Q576" s="78"/>
      <c r="R576" s="78"/>
      <c r="S576" s="78"/>
      <c r="T576" s="78"/>
      <c r="U576" s="78"/>
      <c r="V576" s="79"/>
    </row>
    <row r="577">
      <c r="A577" s="13"/>
      <c r="B577" s="13"/>
      <c r="C577" s="70"/>
      <c r="D577" s="70"/>
      <c r="E577" s="70"/>
      <c r="F577" s="70"/>
      <c r="O577" s="94"/>
      <c r="P577" s="23"/>
      <c r="Q577" s="78"/>
      <c r="R577" s="78"/>
      <c r="S577" s="78"/>
      <c r="T577" s="78"/>
      <c r="U577" s="78"/>
      <c r="V577" s="79"/>
    </row>
    <row r="578">
      <c r="A578" s="13"/>
      <c r="B578" s="13"/>
      <c r="C578" s="70"/>
      <c r="D578" s="70"/>
      <c r="E578" s="70"/>
      <c r="F578" s="70"/>
      <c r="O578" s="94"/>
      <c r="P578" s="23"/>
      <c r="Q578" s="78"/>
      <c r="R578" s="78"/>
      <c r="S578" s="78"/>
      <c r="T578" s="78"/>
      <c r="U578" s="78"/>
      <c r="V578" s="79"/>
    </row>
    <row r="579">
      <c r="A579" s="13"/>
      <c r="B579" s="13"/>
      <c r="C579" s="70"/>
      <c r="D579" s="70"/>
      <c r="E579" s="70"/>
      <c r="F579" s="70"/>
      <c r="O579" s="94"/>
      <c r="P579" s="23"/>
      <c r="Q579" s="78"/>
      <c r="R579" s="78"/>
      <c r="S579" s="78"/>
      <c r="T579" s="78"/>
      <c r="U579" s="78"/>
      <c r="V579" s="79"/>
    </row>
    <row r="580">
      <c r="A580" s="13"/>
      <c r="B580" s="13"/>
      <c r="C580" s="70"/>
      <c r="D580" s="70"/>
      <c r="E580" s="70"/>
      <c r="F580" s="70"/>
      <c r="O580" s="94"/>
      <c r="P580" s="23"/>
      <c r="Q580" s="78"/>
      <c r="R580" s="78"/>
      <c r="S580" s="78"/>
      <c r="T580" s="78"/>
      <c r="U580" s="78"/>
      <c r="V580" s="79"/>
    </row>
    <row r="581">
      <c r="A581" s="13"/>
      <c r="B581" s="13"/>
      <c r="C581" s="70"/>
      <c r="D581" s="70"/>
      <c r="E581" s="70"/>
      <c r="F581" s="70"/>
      <c r="O581" s="94"/>
      <c r="P581" s="23"/>
      <c r="Q581" s="78"/>
      <c r="R581" s="78"/>
      <c r="S581" s="78"/>
      <c r="T581" s="78"/>
      <c r="U581" s="78"/>
      <c r="V581" s="79"/>
    </row>
    <row r="582">
      <c r="A582" s="13"/>
      <c r="B582" s="13"/>
      <c r="C582" s="70"/>
      <c r="D582" s="70"/>
      <c r="E582" s="70"/>
      <c r="F582" s="70"/>
      <c r="O582" s="94"/>
      <c r="P582" s="23"/>
      <c r="Q582" s="78"/>
      <c r="R582" s="78"/>
      <c r="S582" s="78"/>
      <c r="T582" s="78"/>
      <c r="U582" s="78"/>
      <c r="V582" s="79"/>
    </row>
    <row r="583">
      <c r="A583" s="13"/>
      <c r="B583" s="13"/>
      <c r="C583" s="70"/>
      <c r="D583" s="70"/>
      <c r="E583" s="70"/>
      <c r="F583" s="70"/>
      <c r="O583" s="94"/>
      <c r="P583" s="23"/>
      <c r="Q583" s="78"/>
      <c r="R583" s="78"/>
      <c r="S583" s="78"/>
      <c r="T583" s="78"/>
      <c r="U583" s="78"/>
      <c r="V583" s="79"/>
    </row>
    <row r="584">
      <c r="A584" s="13"/>
      <c r="B584" s="13"/>
      <c r="C584" s="70"/>
      <c r="D584" s="70"/>
      <c r="E584" s="70"/>
      <c r="F584" s="70"/>
      <c r="O584" s="94"/>
      <c r="P584" s="23"/>
      <c r="Q584" s="78"/>
      <c r="R584" s="78"/>
      <c r="S584" s="78"/>
      <c r="T584" s="78"/>
      <c r="U584" s="78"/>
      <c r="V584" s="79"/>
    </row>
    <row r="585">
      <c r="A585" s="13"/>
      <c r="B585" s="13"/>
      <c r="C585" s="70"/>
      <c r="D585" s="70"/>
      <c r="E585" s="70"/>
      <c r="F585" s="70"/>
      <c r="O585" s="94"/>
      <c r="P585" s="23"/>
      <c r="Q585" s="78"/>
      <c r="R585" s="78"/>
      <c r="S585" s="78"/>
      <c r="T585" s="78"/>
      <c r="U585" s="78"/>
      <c r="V585" s="79"/>
    </row>
    <row r="586">
      <c r="A586" s="13"/>
      <c r="B586" s="13"/>
      <c r="C586" s="70"/>
      <c r="D586" s="70"/>
      <c r="E586" s="70"/>
      <c r="F586" s="70"/>
      <c r="O586" s="94"/>
      <c r="P586" s="23"/>
      <c r="Q586" s="78"/>
      <c r="R586" s="78"/>
      <c r="S586" s="78"/>
      <c r="T586" s="78"/>
      <c r="U586" s="78"/>
      <c r="V586" s="79"/>
    </row>
    <row r="587">
      <c r="A587" s="13"/>
      <c r="B587" s="13"/>
      <c r="C587" s="70"/>
      <c r="D587" s="70"/>
      <c r="E587" s="70"/>
      <c r="F587" s="70"/>
      <c r="O587" s="94"/>
      <c r="P587" s="23"/>
      <c r="Q587" s="78"/>
      <c r="R587" s="78"/>
      <c r="S587" s="78"/>
      <c r="T587" s="78"/>
      <c r="U587" s="78"/>
      <c r="V587" s="79"/>
    </row>
    <row r="588">
      <c r="A588" s="13"/>
      <c r="B588" s="13"/>
      <c r="C588" s="70"/>
      <c r="D588" s="70"/>
      <c r="E588" s="70"/>
      <c r="F588" s="70"/>
      <c r="O588" s="94"/>
      <c r="P588" s="23"/>
      <c r="Q588" s="78"/>
      <c r="R588" s="78"/>
      <c r="S588" s="78"/>
      <c r="T588" s="78"/>
      <c r="U588" s="78"/>
      <c r="V588" s="79"/>
    </row>
    <row r="589">
      <c r="A589" s="13"/>
      <c r="B589" s="13"/>
      <c r="C589" s="70"/>
      <c r="D589" s="70"/>
      <c r="E589" s="70"/>
      <c r="F589" s="70"/>
      <c r="O589" s="94"/>
      <c r="P589" s="23"/>
      <c r="Q589" s="78"/>
      <c r="R589" s="78"/>
      <c r="S589" s="78"/>
      <c r="T589" s="78"/>
      <c r="U589" s="78"/>
      <c r="V589" s="79"/>
    </row>
    <row r="590">
      <c r="A590" s="13"/>
      <c r="B590" s="13"/>
      <c r="C590" s="70"/>
      <c r="D590" s="70"/>
      <c r="E590" s="70"/>
      <c r="F590" s="70"/>
      <c r="O590" s="94"/>
      <c r="P590" s="23"/>
      <c r="Q590" s="78"/>
      <c r="R590" s="78"/>
      <c r="S590" s="78"/>
      <c r="T590" s="78"/>
      <c r="U590" s="78"/>
      <c r="V590" s="79"/>
    </row>
    <row r="591">
      <c r="A591" s="13"/>
      <c r="B591" s="13"/>
      <c r="C591" s="70"/>
      <c r="D591" s="70"/>
      <c r="E591" s="70"/>
      <c r="F591" s="70"/>
      <c r="O591" s="94"/>
      <c r="P591" s="23"/>
      <c r="Q591" s="78"/>
      <c r="R591" s="78"/>
      <c r="S591" s="78"/>
      <c r="T591" s="78"/>
      <c r="U591" s="78"/>
      <c r="V591" s="79"/>
    </row>
    <row r="592">
      <c r="A592" s="13"/>
      <c r="B592" s="13"/>
      <c r="C592" s="70"/>
      <c r="D592" s="70"/>
      <c r="E592" s="70"/>
      <c r="F592" s="70"/>
      <c r="O592" s="94"/>
      <c r="P592" s="23"/>
      <c r="Q592" s="78"/>
      <c r="R592" s="78"/>
      <c r="S592" s="78"/>
      <c r="T592" s="78"/>
      <c r="U592" s="78"/>
      <c r="V592" s="79"/>
    </row>
    <row r="593">
      <c r="A593" s="13"/>
      <c r="B593" s="13"/>
      <c r="C593" s="70"/>
      <c r="D593" s="70"/>
      <c r="E593" s="70"/>
      <c r="F593" s="70"/>
      <c r="O593" s="94"/>
      <c r="P593" s="23"/>
      <c r="Q593" s="78"/>
      <c r="R593" s="78"/>
      <c r="S593" s="78"/>
      <c r="T593" s="78"/>
      <c r="U593" s="78"/>
      <c r="V593" s="79"/>
    </row>
    <row r="594">
      <c r="A594" s="13"/>
      <c r="B594" s="13"/>
      <c r="C594" s="70"/>
      <c r="D594" s="70"/>
      <c r="E594" s="70"/>
      <c r="F594" s="70"/>
      <c r="O594" s="94"/>
      <c r="P594" s="23"/>
      <c r="Q594" s="78"/>
      <c r="R594" s="78"/>
      <c r="S594" s="78"/>
      <c r="T594" s="78"/>
      <c r="U594" s="78"/>
      <c r="V594" s="79"/>
    </row>
    <row r="595">
      <c r="A595" s="13"/>
      <c r="B595" s="13"/>
      <c r="C595" s="70"/>
      <c r="D595" s="70"/>
      <c r="E595" s="70"/>
      <c r="F595" s="70"/>
      <c r="O595" s="94"/>
      <c r="P595" s="23"/>
      <c r="Q595" s="78"/>
      <c r="R595" s="78"/>
      <c r="S595" s="78"/>
      <c r="T595" s="78"/>
      <c r="U595" s="78"/>
      <c r="V595" s="79"/>
    </row>
    <row r="596">
      <c r="A596" s="13"/>
      <c r="B596" s="13"/>
      <c r="C596" s="70"/>
      <c r="D596" s="70"/>
      <c r="E596" s="70"/>
      <c r="F596" s="70"/>
      <c r="O596" s="94"/>
      <c r="P596" s="23"/>
      <c r="Q596" s="78"/>
      <c r="R596" s="78"/>
      <c r="S596" s="78"/>
      <c r="T596" s="78"/>
      <c r="U596" s="78"/>
      <c r="V596" s="79"/>
    </row>
    <row r="597">
      <c r="A597" s="13"/>
      <c r="B597" s="13"/>
      <c r="C597" s="70"/>
      <c r="D597" s="70"/>
      <c r="E597" s="70"/>
      <c r="F597" s="70"/>
      <c r="O597" s="94"/>
      <c r="P597" s="23"/>
      <c r="Q597" s="78"/>
      <c r="R597" s="78"/>
      <c r="S597" s="78"/>
      <c r="T597" s="78"/>
      <c r="U597" s="78"/>
      <c r="V597" s="79"/>
    </row>
    <row r="598">
      <c r="A598" s="13"/>
      <c r="B598" s="13"/>
      <c r="C598" s="70"/>
      <c r="D598" s="70"/>
      <c r="E598" s="70"/>
      <c r="F598" s="70"/>
      <c r="O598" s="94"/>
      <c r="P598" s="23"/>
      <c r="Q598" s="78"/>
      <c r="R598" s="78"/>
      <c r="S598" s="78"/>
      <c r="T598" s="78"/>
      <c r="U598" s="78"/>
      <c r="V598" s="79"/>
    </row>
    <row r="599">
      <c r="A599" s="13"/>
      <c r="B599" s="13"/>
      <c r="C599" s="70"/>
      <c r="D599" s="70"/>
      <c r="E599" s="70"/>
      <c r="F599" s="70"/>
      <c r="O599" s="94"/>
      <c r="P599" s="23"/>
      <c r="Q599" s="78"/>
      <c r="R599" s="78"/>
      <c r="S599" s="78"/>
      <c r="T599" s="78"/>
      <c r="U599" s="78"/>
      <c r="V599" s="79"/>
    </row>
    <row r="600">
      <c r="A600" s="13"/>
      <c r="B600" s="13"/>
      <c r="C600" s="70"/>
      <c r="D600" s="70"/>
      <c r="E600" s="70"/>
      <c r="F600" s="70"/>
      <c r="O600" s="94"/>
      <c r="P600" s="23"/>
      <c r="Q600" s="78"/>
      <c r="R600" s="78"/>
      <c r="S600" s="78"/>
      <c r="T600" s="78"/>
      <c r="U600" s="78"/>
      <c r="V600" s="79"/>
    </row>
    <row r="601">
      <c r="A601" s="13"/>
      <c r="B601" s="13"/>
      <c r="C601" s="70"/>
      <c r="D601" s="70"/>
      <c r="E601" s="70"/>
      <c r="F601" s="70"/>
      <c r="O601" s="94"/>
      <c r="P601" s="23"/>
      <c r="Q601" s="78"/>
      <c r="R601" s="78"/>
      <c r="S601" s="78"/>
      <c r="T601" s="78"/>
      <c r="U601" s="78"/>
      <c r="V601" s="79"/>
    </row>
    <row r="602">
      <c r="A602" s="13"/>
      <c r="B602" s="13"/>
      <c r="C602" s="70"/>
      <c r="D602" s="70"/>
      <c r="E602" s="70"/>
      <c r="F602" s="70"/>
      <c r="O602" s="94"/>
      <c r="P602" s="23"/>
      <c r="Q602" s="78"/>
      <c r="R602" s="78"/>
      <c r="S602" s="78"/>
      <c r="T602" s="78"/>
      <c r="U602" s="78"/>
      <c r="V602" s="79"/>
    </row>
    <row r="603">
      <c r="A603" s="13"/>
      <c r="B603" s="13"/>
      <c r="C603" s="70"/>
      <c r="D603" s="70"/>
      <c r="E603" s="70"/>
      <c r="F603" s="70"/>
      <c r="O603" s="94"/>
      <c r="P603" s="23"/>
      <c r="Q603" s="78"/>
      <c r="R603" s="78"/>
      <c r="S603" s="78"/>
      <c r="T603" s="78"/>
      <c r="U603" s="78"/>
      <c r="V603" s="79"/>
    </row>
    <row r="604">
      <c r="A604" s="13"/>
      <c r="B604" s="13"/>
      <c r="C604" s="70"/>
      <c r="D604" s="70"/>
      <c r="E604" s="70"/>
      <c r="F604" s="70"/>
      <c r="O604" s="94"/>
      <c r="P604" s="23"/>
      <c r="Q604" s="78"/>
      <c r="R604" s="78"/>
      <c r="S604" s="78"/>
      <c r="T604" s="78"/>
      <c r="U604" s="78"/>
      <c r="V604" s="79"/>
    </row>
    <row r="605">
      <c r="A605" s="13"/>
      <c r="B605" s="13"/>
      <c r="C605" s="70"/>
      <c r="D605" s="70"/>
      <c r="E605" s="70"/>
      <c r="F605" s="70"/>
      <c r="O605" s="94"/>
      <c r="P605" s="23"/>
      <c r="Q605" s="78"/>
      <c r="R605" s="78"/>
      <c r="S605" s="78"/>
      <c r="T605" s="78"/>
      <c r="U605" s="78"/>
      <c r="V605" s="79"/>
    </row>
    <row r="606">
      <c r="A606" s="13"/>
      <c r="B606" s="13"/>
      <c r="C606" s="70"/>
      <c r="D606" s="70"/>
      <c r="E606" s="70"/>
      <c r="F606" s="70"/>
      <c r="O606" s="94"/>
      <c r="P606" s="23"/>
      <c r="Q606" s="78"/>
      <c r="R606" s="78"/>
      <c r="S606" s="78"/>
      <c r="T606" s="78"/>
      <c r="U606" s="78"/>
      <c r="V606" s="79"/>
    </row>
    <row r="607">
      <c r="A607" s="13"/>
      <c r="B607" s="13"/>
      <c r="C607" s="70"/>
      <c r="D607" s="70"/>
      <c r="E607" s="70"/>
      <c r="F607" s="70"/>
      <c r="O607" s="94"/>
      <c r="P607" s="23"/>
      <c r="Q607" s="78"/>
      <c r="R607" s="78"/>
      <c r="S607" s="78"/>
      <c r="T607" s="78"/>
      <c r="U607" s="78"/>
      <c r="V607" s="79"/>
    </row>
    <row r="608">
      <c r="A608" s="13"/>
      <c r="B608" s="13"/>
      <c r="C608" s="70"/>
      <c r="D608" s="70"/>
      <c r="E608" s="70"/>
      <c r="F608" s="70"/>
      <c r="O608" s="94"/>
      <c r="P608" s="23"/>
      <c r="Q608" s="78"/>
      <c r="R608" s="78"/>
      <c r="S608" s="78"/>
      <c r="T608" s="78"/>
      <c r="U608" s="78"/>
      <c r="V608" s="79"/>
    </row>
    <row r="609">
      <c r="A609" s="13"/>
      <c r="B609" s="13"/>
      <c r="C609" s="70"/>
      <c r="D609" s="70"/>
      <c r="E609" s="70"/>
      <c r="F609" s="70"/>
      <c r="O609" s="94"/>
      <c r="P609" s="23"/>
      <c r="Q609" s="78"/>
      <c r="R609" s="78"/>
      <c r="S609" s="78"/>
      <c r="T609" s="78"/>
      <c r="U609" s="78"/>
      <c r="V609" s="79"/>
    </row>
    <row r="610">
      <c r="A610" s="13"/>
      <c r="B610" s="13"/>
      <c r="C610" s="70"/>
      <c r="D610" s="70"/>
      <c r="E610" s="70"/>
      <c r="F610" s="70"/>
      <c r="O610" s="94"/>
      <c r="P610" s="23"/>
      <c r="Q610" s="78"/>
      <c r="R610" s="78"/>
      <c r="S610" s="78"/>
      <c r="T610" s="78"/>
      <c r="U610" s="78"/>
      <c r="V610" s="79"/>
    </row>
    <row r="611">
      <c r="A611" s="13"/>
      <c r="B611" s="13"/>
      <c r="C611" s="70"/>
      <c r="D611" s="70"/>
      <c r="E611" s="70"/>
      <c r="F611" s="70"/>
      <c r="O611" s="94"/>
      <c r="P611" s="23"/>
      <c r="Q611" s="78"/>
      <c r="R611" s="78"/>
      <c r="S611" s="78"/>
      <c r="T611" s="78"/>
      <c r="U611" s="78"/>
      <c r="V611" s="79"/>
    </row>
    <row r="612">
      <c r="A612" s="13"/>
      <c r="B612" s="13"/>
      <c r="C612" s="70"/>
      <c r="D612" s="70"/>
      <c r="E612" s="70"/>
      <c r="F612" s="70"/>
      <c r="O612" s="94"/>
      <c r="P612" s="23"/>
      <c r="Q612" s="78"/>
      <c r="R612" s="78"/>
      <c r="S612" s="78"/>
      <c r="T612" s="78"/>
      <c r="U612" s="78"/>
      <c r="V612" s="79"/>
    </row>
    <row r="613">
      <c r="A613" s="13"/>
      <c r="B613" s="13"/>
      <c r="C613" s="70"/>
      <c r="D613" s="70"/>
      <c r="E613" s="70"/>
      <c r="F613" s="70"/>
      <c r="O613" s="94"/>
      <c r="P613" s="23"/>
      <c r="Q613" s="78"/>
      <c r="R613" s="78"/>
      <c r="S613" s="78"/>
      <c r="T613" s="78"/>
      <c r="U613" s="78"/>
      <c r="V613" s="79"/>
    </row>
    <row r="614">
      <c r="A614" s="13"/>
      <c r="B614" s="13"/>
      <c r="C614" s="70"/>
      <c r="D614" s="70"/>
      <c r="E614" s="70"/>
      <c r="F614" s="70"/>
      <c r="O614" s="94"/>
      <c r="P614" s="23"/>
      <c r="Q614" s="78"/>
      <c r="R614" s="78"/>
      <c r="S614" s="78"/>
      <c r="T614" s="78"/>
      <c r="U614" s="78"/>
      <c r="V614" s="79"/>
    </row>
    <row r="615">
      <c r="A615" s="13"/>
      <c r="B615" s="13"/>
      <c r="C615" s="70"/>
      <c r="D615" s="70"/>
      <c r="E615" s="70"/>
      <c r="F615" s="70"/>
      <c r="O615" s="94"/>
      <c r="P615" s="23"/>
      <c r="Q615" s="78"/>
      <c r="R615" s="78"/>
      <c r="S615" s="78"/>
      <c r="T615" s="78"/>
      <c r="U615" s="78"/>
      <c r="V615" s="79"/>
    </row>
    <row r="616">
      <c r="A616" s="13"/>
      <c r="B616" s="13"/>
      <c r="C616" s="70"/>
      <c r="D616" s="70"/>
      <c r="E616" s="70"/>
      <c r="F616" s="70"/>
      <c r="O616" s="94"/>
      <c r="P616" s="23"/>
      <c r="Q616" s="78"/>
      <c r="R616" s="78"/>
      <c r="S616" s="78"/>
      <c r="T616" s="78"/>
      <c r="U616" s="78"/>
      <c r="V616" s="79"/>
    </row>
    <row r="617">
      <c r="A617" s="13"/>
      <c r="B617" s="13"/>
      <c r="C617" s="70"/>
      <c r="D617" s="70"/>
      <c r="E617" s="70"/>
      <c r="F617" s="70"/>
      <c r="O617" s="94"/>
      <c r="P617" s="23"/>
      <c r="Q617" s="78"/>
      <c r="R617" s="78"/>
      <c r="S617" s="78"/>
      <c r="T617" s="78"/>
      <c r="U617" s="78"/>
      <c r="V617" s="79"/>
    </row>
    <row r="618">
      <c r="A618" s="13"/>
      <c r="B618" s="13"/>
      <c r="C618" s="70"/>
      <c r="D618" s="70"/>
      <c r="E618" s="70"/>
      <c r="F618" s="70"/>
      <c r="O618" s="94"/>
      <c r="P618" s="23"/>
      <c r="Q618" s="78"/>
      <c r="R618" s="78"/>
      <c r="S618" s="78"/>
      <c r="T618" s="78"/>
      <c r="U618" s="78"/>
      <c r="V618" s="79"/>
    </row>
    <row r="619">
      <c r="A619" s="13"/>
      <c r="B619" s="13"/>
      <c r="C619" s="70"/>
      <c r="D619" s="70"/>
      <c r="E619" s="70"/>
      <c r="F619" s="70"/>
      <c r="O619" s="94"/>
      <c r="P619" s="23"/>
      <c r="Q619" s="78"/>
      <c r="R619" s="78"/>
      <c r="S619" s="78"/>
      <c r="T619" s="78"/>
      <c r="U619" s="78"/>
      <c r="V619" s="79"/>
    </row>
    <row r="620">
      <c r="A620" s="13"/>
      <c r="B620" s="13"/>
      <c r="C620" s="70"/>
      <c r="D620" s="70"/>
      <c r="E620" s="70"/>
      <c r="F620" s="70"/>
      <c r="O620" s="94"/>
      <c r="P620" s="23"/>
      <c r="Q620" s="78"/>
      <c r="R620" s="78"/>
      <c r="S620" s="78"/>
      <c r="T620" s="78"/>
      <c r="U620" s="78"/>
      <c r="V620" s="79"/>
    </row>
    <row r="621">
      <c r="A621" s="13"/>
      <c r="B621" s="13"/>
      <c r="C621" s="70"/>
      <c r="D621" s="70"/>
      <c r="E621" s="70"/>
      <c r="F621" s="70"/>
      <c r="O621" s="94"/>
      <c r="P621" s="23"/>
      <c r="Q621" s="78"/>
      <c r="R621" s="78"/>
      <c r="S621" s="78"/>
      <c r="T621" s="78"/>
      <c r="U621" s="78"/>
      <c r="V621" s="79"/>
    </row>
    <row r="622">
      <c r="A622" s="13"/>
      <c r="B622" s="13"/>
      <c r="C622" s="70"/>
      <c r="D622" s="70"/>
      <c r="E622" s="70"/>
      <c r="F622" s="70"/>
      <c r="O622" s="94"/>
      <c r="P622" s="23"/>
      <c r="Q622" s="78"/>
      <c r="R622" s="78"/>
      <c r="S622" s="78"/>
      <c r="T622" s="78"/>
      <c r="U622" s="78"/>
      <c r="V622" s="79"/>
    </row>
    <row r="623">
      <c r="A623" s="13"/>
      <c r="B623" s="13"/>
      <c r="C623" s="70"/>
      <c r="D623" s="70"/>
      <c r="E623" s="70"/>
      <c r="F623" s="70"/>
      <c r="O623" s="94"/>
      <c r="P623" s="23"/>
      <c r="Q623" s="78"/>
      <c r="R623" s="78"/>
      <c r="S623" s="78"/>
      <c r="T623" s="78"/>
      <c r="U623" s="78"/>
      <c r="V623" s="79"/>
    </row>
    <row r="624">
      <c r="A624" s="13"/>
      <c r="B624" s="13"/>
      <c r="C624" s="70"/>
      <c r="D624" s="70"/>
      <c r="E624" s="70"/>
      <c r="F624" s="70"/>
      <c r="O624" s="94"/>
      <c r="P624" s="23"/>
      <c r="Q624" s="78"/>
      <c r="R624" s="78"/>
      <c r="S624" s="78"/>
      <c r="T624" s="78"/>
      <c r="U624" s="78"/>
      <c r="V624" s="79"/>
    </row>
    <row r="625">
      <c r="A625" s="13"/>
      <c r="B625" s="13"/>
      <c r="C625" s="70"/>
      <c r="D625" s="70"/>
      <c r="E625" s="70"/>
      <c r="F625" s="70"/>
      <c r="O625" s="94"/>
      <c r="P625" s="23"/>
      <c r="Q625" s="78"/>
      <c r="R625" s="78"/>
      <c r="S625" s="78"/>
      <c r="T625" s="78"/>
      <c r="U625" s="78"/>
      <c r="V625" s="79"/>
    </row>
    <row r="626">
      <c r="A626" s="13"/>
      <c r="B626" s="13"/>
      <c r="C626" s="70"/>
      <c r="D626" s="70"/>
      <c r="E626" s="70"/>
      <c r="F626" s="70"/>
      <c r="O626" s="94"/>
      <c r="P626" s="23"/>
      <c r="Q626" s="78"/>
      <c r="R626" s="78"/>
      <c r="S626" s="78"/>
      <c r="T626" s="78"/>
      <c r="U626" s="78"/>
      <c r="V626" s="79"/>
    </row>
    <row r="627">
      <c r="A627" s="13"/>
      <c r="B627" s="13"/>
      <c r="C627" s="70"/>
      <c r="D627" s="70"/>
      <c r="E627" s="70"/>
      <c r="F627" s="70"/>
      <c r="O627" s="94"/>
      <c r="P627" s="23"/>
      <c r="Q627" s="78"/>
      <c r="R627" s="78"/>
      <c r="S627" s="78"/>
      <c r="T627" s="78"/>
      <c r="U627" s="78"/>
      <c r="V627" s="79"/>
    </row>
    <row r="628">
      <c r="A628" s="13"/>
      <c r="B628" s="13"/>
      <c r="C628" s="70"/>
      <c r="D628" s="70"/>
      <c r="E628" s="70"/>
      <c r="F628" s="70"/>
      <c r="O628" s="94"/>
      <c r="P628" s="23"/>
      <c r="Q628" s="78"/>
      <c r="R628" s="78"/>
      <c r="S628" s="78"/>
      <c r="T628" s="78"/>
      <c r="U628" s="78"/>
      <c r="V628" s="79"/>
    </row>
    <row r="629">
      <c r="A629" s="13"/>
      <c r="B629" s="13"/>
      <c r="C629" s="70"/>
      <c r="D629" s="70"/>
      <c r="E629" s="70"/>
      <c r="F629" s="70"/>
      <c r="O629" s="94"/>
      <c r="P629" s="23"/>
      <c r="Q629" s="78"/>
      <c r="R629" s="78"/>
      <c r="S629" s="78"/>
      <c r="T629" s="78"/>
      <c r="U629" s="78"/>
      <c r="V629" s="79"/>
    </row>
    <row r="630">
      <c r="A630" s="13"/>
      <c r="B630" s="13"/>
      <c r="C630" s="70"/>
      <c r="D630" s="70"/>
      <c r="E630" s="70"/>
      <c r="F630" s="70"/>
      <c r="O630" s="94"/>
      <c r="P630" s="23"/>
      <c r="Q630" s="78"/>
      <c r="R630" s="78"/>
      <c r="S630" s="78"/>
      <c r="T630" s="78"/>
      <c r="U630" s="78"/>
      <c r="V630" s="79"/>
    </row>
    <row r="631">
      <c r="A631" s="13"/>
      <c r="B631" s="13"/>
      <c r="C631" s="70"/>
      <c r="D631" s="70"/>
      <c r="E631" s="70"/>
      <c r="F631" s="70"/>
      <c r="O631" s="94"/>
      <c r="P631" s="23"/>
      <c r="Q631" s="78"/>
      <c r="R631" s="78"/>
      <c r="S631" s="78"/>
      <c r="T631" s="78"/>
      <c r="U631" s="78"/>
      <c r="V631" s="79"/>
    </row>
    <row r="632">
      <c r="A632" s="13"/>
      <c r="B632" s="13"/>
      <c r="C632" s="70"/>
      <c r="D632" s="70"/>
      <c r="E632" s="70"/>
      <c r="F632" s="70"/>
      <c r="O632" s="94"/>
      <c r="P632" s="23"/>
      <c r="Q632" s="78"/>
      <c r="R632" s="78"/>
      <c r="S632" s="78"/>
      <c r="T632" s="78"/>
      <c r="U632" s="78"/>
      <c r="V632" s="79"/>
    </row>
    <row r="633">
      <c r="A633" s="13"/>
      <c r="B633" s="13"/>
      <c r="C633" s="70"/>
      <c r="D633" s="70"/>
      <c r="E633" s="70"/>
      <c r="F633" s="70"/>
      <c r="O633" s="94"/>
      <c r="P633" s="23"/>
      <c r="Q633" s="78"/>
      <c r="R633" s="78"/>
      <c r="S633" s="78"/>
      <c r="T633" s="78"/>
      <c r="U633" s="78"/>
      <c r="V633" s="79"/>
    </row>
    <row r="634">
      <c r="A634" s="13"/>
      <c r="B634" s="13"/>
      <c r="C634" s="70"/>
      <c r="D634" s="70"/>
      <c r="E634" s="70"/>
      <c r="F634" s="70"/>
      <c r="O634" s="94"/>
      <c r="P634" s="23"/>
      <c r="Q634" s="78"/>
      <c r="R634" s="78"/>
      <c r="S634" s="78"/>
      <c r="T634" s="78"/>
      <c r="U634" s="78"/>
      <c r="V634" s="79"/>
    </row>
    <row r="635">
      <c r="A635" s="13"/>
      <c r="B635" s="13"/>
      <c r="C635" s="70"/>
      <c r="D635" s="70"/>
      <c r="E635" s="70"/>
      <c r="F635" s="70"/>
      <c r="O635" s="94"/>
      <c r="P635" s="23"/>
      <c r="Q635" s="78"/>
      <c r="R635" s="78"/>
      <c r="S635" s="78"/>
      <c r="T635" s="78"/>
      <c r="U635" s="78"/>
      <c r="V635" s="79"/>
    </row>
    <row r="636">
      <c r="A636" s="13"/>
      <c r="B636" s="13"/>
      <c r="C636" s="70"/>
      <c r="D636" s="70"/>
      <c r="E636" s="70"/>
      <c r="F636" s="70"/>
      <c r="O636" s="94"/>
      <c r="P636" s="23"/>
      <c r="Q636" s="78"/>
      <c r="R636" s="78"/>
      <c r="S636" s="78"/>
      <c r="T636" s="78"/>
      <c r="U636" s="78"/>
      <c r="V636" s="79"/>
    </row>
    <row r="637">
      <c r="A637" s="13"/>
      <c r="B637" s="13"/>
      <c r="C637" s="70"/>
      <c r="D637" s="70"/>
      <c r="E637" s="70"/>
      <c r="F637" s="70"/>
      <c r="O637" s="94"/>
      <c r="P637" s="23"/>
      <c r="Q637" s="78"/>
      <c r="R637" s="78"/>
      <c r="S637" s="78"/>
      <c r="T637" s="78"/>
      <c r="U637" s="78"/>
      <c r="V637" s="79"/>
    </row>
    <row r="638">
      <c r="A638" s="13"/>
      <c r="B638" s="13"/>
      <c r="C638" s="70"/>
      <c r="D638" s="70"/>
      <c r="E638" s="70"/>
      <c r="F638" s="70"/>
      <c r="O638" s="94"/>
      <c r="P638" s="23"/>
      <c r="Q638" s="78"/>
      <c r="R638" s="78"/>
      <c r="S638" s="78"/>
      <c r="T638" s="78"/>
      <c r="U638" s="78"/>
      <c r="V638" s="79"/>
    </row>
    <row r="639">
      <c r="A639" s="13"/>
      <c r="B639" s="13"/>
      <c r="C639" s="70"/>
      <c r="D639" s="70"/>
      <c r="E639" s="70"/>
      <c r="F639" s="70"/>
      <c r="O639" s="94"/>
      <c r="P639" s="23"/>
      <c r="Q639" s="78"/>
      <c r="R639" s="78"/>
      <c r="S639" s="78"/>
      <c r="T639" s="78"/>
      <c r="U639" s="78"/>
      <c r="V639" s="79"/>
    </row>
    <row r="640">
      <c r="A640" s="13"/>
      <c r="B640" s="13"/>
      <c r="C640" s="70"/>
      <c r="D640" s="70"/>
      <c r="E640" s="70"/>
      <c r="F640" s="70"/>
      <c r="O640" s="94"/>
      <c r="P640" s="23"/>
      <c r="Q640" s="78"/>
      <c r="R640" s="78"/>
      <c r="S640" s="78"/>
      <c r="T640" s="78"/>
      <c r="U640" s="78"/>
      <c r="V640" s="79"/>
    </row>
    <row r="641">
      <c r="A641" s="13"/>
      <c r="B641" s="13"/>
      <c r="C641" s="70"/>
      <c r="D641" s="70"/>
      <c r="E641" s="70"/>
      <c r="F641" s="70"/>
      <c r="O641" s="94"/>
      <c r="P641" s="23"/>
      <c r="Q641" s="78"/>
      <c r="R641" s="78"/>
      <c r="S641" s="78"/>
      <c r="T641" s="78"/>
      <c r="U641" s="78"/>
      <c r="V641" s="79"/>
    </row>
    <row r="642">
      <c r="A642" s="13"/>
      <c r="B642" s="13"/>
      <c r="C642" s="70"/>
      <c r="D642" s="70"/>
      <c r="E642" s="70"/>
      <c r="F642" s="70"/>
      <c r="O642" s="94"/>
      <c r="P642" s="23"/>
      <c r="Q642" s="78"/>
      <c r="R642" s="78"/>
      <c r="S642" s="78"/>
      <c r="T642" s="78"/>
      <c r="U642" s="78"/>
      <c r="V642" s="79"/>
    </row>
    <row r="643">
      <c r="A643" s="13"/>
      <c r="B643" s="13"/>
      <c r="C643" s="70"/>
      <c r="D643" s="70"/>
      <c r="E643" s="70"/>
      <c r="F643" s="70"/>
      <c r="O643" s="94"/>
      <c r="P643" s="23"/>
      <c r="Q643" s="78"/>
      <c r="R643" s="78"/>
      <c r="S643" s="78"/>
      <c r="T643" s="78"/>
      <c r="U643" s="78"/>
      <c r="V643" s="79"/>
    </row>
    <row r="644">
      <c r="A644" s="13"/>
      <c r="B644" s="13"/>
      <c r="C644" s="70"/>
      <c r="D644" s="70"/>
      <c r="E644" s="70"/>
      <c r="F644" s="70"/>
      <c r="O644" s="94"/>
      <c r="P644" s="23"/>
      <c r="Q644" s="78"/>
      <c r="R644" s="78"/>
      <c r="S644" s="78"/>
      <c r="T644" s="78"/>
      <c r="U644" s="78"/>
      <c r="V644" s="79"/>
    </row>
    <row r="645">
      <c r="A645" s="13"/>
      <c r="B645" s="13"/>
      <c r="C645" s="70"/>
      <c r="D645" s="70"/>
      <c r="E645" s="70"/>
      <c r="F645" s="70"/>
      <c r="O645" s="94"/>
      <c r="P645" s="23"/>
      <c r="Q645" s="78"/>
      <c r="R645" s="78"/>
      <c r="S645" s="78"/>
      <c r="T645" s="78"/>
      <c r="U645" s="78"/>
      <c r="V645" s="79"/>
    </row>
    <row r="646">
      <c r="A646" s="13"/>
      <c r="B646" s="13"/>
      <c r="C646" s="70"/>
      <c r="D646" s="70"/>
      <c r="E646" s="70"/>
      <c r="F646" s="70"/>
      <c r="O646" s="94"/>
      <c r="P646" s="23"/>
      <c r="Q646" s="78"/>
      <c r="R646" s="78"/>
      <c r="S646" s="78"/>
      <c r="T646" s="78"/>
      <c r="U646" s="78"/>
      <c r="V646" s="79"/>
    </row>
    <row r="647">
      <c r="A647" s="13"/>
      <c r="B647" s="13"/>
      <c r="C647" s="70"/>
      <c r="D647" s="70"/>
      <c r="E647" s="70"/>
      <c r="F647" s="70"/>
      <c r="O647" s="94"/>
      <c r="P647" s="23"/>
      <c r="Q647" s="78"/>
      <c r="R647" s="78"/>
      <c r="S647" s="78"/>
      <c r="T647" s="78"/>
      <c r="U647" s="78"/>
      <c r="V647" s="79"/>
    </row>
    <row r="648">
      <c r="A648" s="13"/>
      <c r="B648" s="13"/>
      <c r="C648" s="70"/>
      <c r="D648" s="70"/>
      <c r="E648" s="70"/>
      <c r="F648" s="70"/>
      <c r="O648" s="94"/>
      <c r="P648" s="23"/>
      <c r="Q648" s="78"/>
      <c r="R648" s="78"/>
      <c r="S648" s="78"/>
      <c r="T648" s="78"/>
      <c r="U648" s="78"/>
      <c r="V648" s="79"/>
    </row>
    <row r="649">
      <c r="A649" s="13"/>
      <c r="B649" s="13"/>
      <c r="C649" s="70"/>
      <c r="D649" s="70"/>
      <c r="E649" s="70"/>
      <c r="F649" s="70"/>
      <c r="O649" s="94"/>
      <c r="P649" s="23"/>
      <c r="Q649" s="78"/>
      <c r="R649" s="78"/>
      <c r="S649" s="78"/>
      <c r="T649" s="78"/>
      <c r="U649" s="78"/>
      <c r="V649" s="79"/>
    </row>
    <row r="650">
      <c r="A650" s="13"/>
      <c r="B650" s="13"/>
      <c r="C650" s="70"/>
      <c r="D650" s="70"/>
      <c r="E650" s="70"/>
      <c r="F650" s="70"/>
      <c r="O650" s="94"/>
      <c r="P650" s="23"/>
      <c r="Q650" s="78"/>
      <c r="R650" s="78"/>
      <c r="S650" s="78"/>
      <c r="T650" s="78"/>
      <c r="U650" s="78"/>
      <c r="V650" s="79"/>
    </row>
    <row r="651">
      <c r="A651" s="13"/>
      <c r="B651" s="13"/>
      <c r="C651" s="70"/>
      <c r="D651" s="70"/>
      <c r="E651" s="70"/>
      <c r="F651" s="70"/>
      <c r="O651" s="94"/>
      <c r="P651" s="23"/>
      <c r="Q651" s="78"/>
      <c r="R651" s="78"/>
      <c r="S651" s="78"/>
      <c r="T651" s="78"/>
      <c r="U651" s="78"/>
      <c r="V651" s="79"/>
    </row>
    <row r="652">
      <c r="A652" s="13"/>
      <c r="B652" s="13"/>
      <c r="C652" s="70"/>
      <c r="D652" s="70"/>
      <c r="E652" s="70"/>
      <c r="F652" s="70"/>
      <c r="O652" s="94"/>
      <c r="P652" s="23"/>
      <c r="Q652" s="78"/>
      <c r="R652" s="78"/>
      <c r="S652" s="78"/>
      <c r="T652" s="78"/>
      <c r="U652" s="78"/>
      <c r="V652" s="79"/>
    </row>
    <row r="653">
      <c r="A653" s="13"/>
      <c r="B653" s="13"/>
      <c r="C653" s="70"/>
      <c r="D653" s="70"/>
      <c r="E653" s="70"/>
      <c r="F653" s="70"/>
      <c r="O653" s="94"/>
      <c r="P653" s="23"/>
      <c r="Q653" s="78"/>
      <c r="R653" s="78"/>
      <c r="S653" s="78"/>
      <c r="T653" s="78"/>
      <c r="U653" s="78"/>
      <c r="V653" s="79"/>
    </row>
    <row r="654">
      <c r="A654" s="13"/>
      <c r="B654" s="13"/>
      <c r="C654" s="70"/>
      <c r="D654" s="70"/>
      <c r="E654" s="70"/>
      <c r="F654" s="70"/>
      <c r="O654" s="94"/>
      <c r="P654" s="23"/>
      <c r="Q654" s="78"/>
      <c r="R654" s="78"/>
      <c r="S654" s="78"/>
      <c r="T654" s="78"/>
      <c r="U654" s="78"/>
      <c r="V654" s="79"/>
    </row>
    <row r="655">
      <c r="A655" s="13"/>
      <c r="B655" s="13"/>
      <c r="C655" s="70"/>
      <c r="D655" s="70"/>
      <c r="E655" s="70"/>
      <c r="F655" s="70"/>
      <c r="O655" s="94"/>
      <c r="P655" s="23"/>
      <c r="Q655" s="78"/>
      <c r="R655" s="78"/>
      <c r="S655" s="78"/>
      <c r="T655" s="78"/>
      <c r="U655" s="78"/>
      <c r="V655" s="79"/>
    </row>
    <row r="656">
      <c r="A656" s="13"/>
      <c r="B656" s="13"/>
      <c r="C656" s="70"/>
      <c r="D656" s="70"/>
      <c r="E656" s="70"/>
      <c r="F656" s="70"/>
      <c r="O656" s="94"/>
      <c r="P656" s="23"/>
      <c r="Q656" s="78"/>
      <c r="R656" s="78"/>
      <c r="S656" s="78"/>
      <c r="T656" s="78"/>
      <c r="U656" s="78"/>
      <c r="V656" s="79"/>
    </row>
    <row r="657">
      <c r="A657" s="13"/>
      <c r="B657" s="13"/>
      <c r="C657" s="70"/>
      <c r="D657" s="70"/>
      <c r="E657" s="70"/>
      <c r="F657" s="70"/>
      <c r="O657" s="94"/>
      <c r="P657" s="23"/>
      <c r="Q657" s="78"/>
      <c r="R657" s="78"/>
      <c r="S657" s="78"/>
      <c r="T657" s="78"/>
      <c r="U657" s="78"/>
      <c r="V657" s="79"/>
    </row>
    <row r="658">
      <c r="A658" s="13"/>
      <c r="B658" s="13"/>
      <c r="C658" s="70"/>
      <c r="D658" s="70"/>
      <c r="E658" s="70"/>
      <c r="F658" s="70"/>
      <c r="O658" s="94"/>
      <c r="P658" s="23"/>
      <c r="Q658" s="78"/>
      <c r="R658" s="78"/>
      <c r="S658" s="78"/>
      <c r="T658" s="78"/>
      <c r="U658" s="78"/>
      <c r="V658" s="79"/>
    </row>
    <row r="659">
      <c r="A659" s="13"/>
      <c r="B659" s="13"/>
      <c r="C659" s="70"/>
      <c r="D659" s="70"/>
      <c r="E659" s="70"/>
      <c r="F659" s="70"/>
      <c r="O659" s="94"/>
      <c r="P659" s="23"/>
      <c r="Q659" s="78"/>
      <c r="R659" s="78"/>
      <c r="S659" s="78"/>
      <c r="T659" s="78"/>
      <c r="U659" s="78"/>
      <c r="V659" s="79"/>
    </row>
    <row r="660">
      <c r="A660" s="13"/>
      <c r="B660" s="13"/>
      <c r="C660" s="70"/>
      <c r="D660" s="70"/>
      <c r="E660" s="70"/>
      <c r="F660" s="70"/>
      <c r="O660" s="94"/>
      <c r="P660" s="23"/>
      <c r="Q660" s="78"/>
      <c r="R660" s="78"/>
      <c r="S660" s="78"/>
      <c r="T660" s="78"/>
      <c r="U660" s="78"/>
      <c r="V660" s="79"/>
    </row>
    <row r="661">
      <c r="A661" s="13"/>
      <c r="B661" s="13"/>
      <c r="C661" s="70"/>
      <c r="D661" s="70"/>
      <c r="E661" s="70"/>
      <c r="F661" s="70"/>
      <c r="O661" s="94"/>
      <c r="P661" s="23"/>
      <c r="Q661" s="78"/>
      <c r="R661" s="78"/>
      <c r="S661" s="78"/>
      <c r="T661" s="78"/>
      <c r="U661" s="78"/>
      <c r="V661" s="79"/>
    </row>
    <row r="662">
      <c r="A662" s="13"/>
      <c r="B662" s="13"/>
      <c r="C662" s="70"/>
      <c r="D662" s="70"/>
      <c r="E662" s="70"/>
      <c r="F662" s="70"/>
      <c r="O662" s="94"/>
      <c r="P662" s="23"/>
      <c r="Q662" s="78"/>
      <c r="R662" s="78"/>
      <c r="S662" s="78"/>
      <c r="T662" s="78"/>
      <c r="U662" s="78"/>
      <c r="V662" s="79"/>
    </row>
    <row r="663">
      <c r="A663" s="13"/>
      <c r="B663" s="13"/>
      <c r="C663" s="70"/>
      <c r="D663" s="70"/>
      <c r="E663" s="70"/>
      <c r="F663" s="70"/>
      <c r="O663" s="94"/>
      <c r="P663" s="23"/>
      <c r="Q663" s="78"/>
      <c r="R663" s="78"/>
      <c r="S663" s="78"/>
      <c r="T663" s="78"/>
      <c r="U663" s="78"/>
      <c r="V663" s="79"/>
    </row>
    <row r="664">
      <c r="A664" s="13"/>
      <c r="B664" s="13"/>
      <c r="C664" s="70"/>
      <c r="D664" s="70"/>
      <c r="E664" s="70"/>
      <c r="F664" s="70"/>
      <c r="O664" s="94"/>
      <c r="P664" s="23"/>
      <c r="Q664" s="78"/>
      <c r="R664" s="78"/>
      <c r="S664" s="78"/>
      <c r="T664" s="78"/>
      <c r="U664" s="78"/>
      <c r="V664" s="79"/>
    </row>
    <row r="665">
      <c r="A665" s="13"/>
      <c r="B665" s="13"/>
      <c r="C665" s="70"/>
      <c r="D665" s="70"/>
      <c r="E665" s="70"/>
      <c r="F665" s="70"/>
      <c r="O665" s="94"/>
      <c r="P665" s="23"/>
      <c r="Q665" s="78"/>
      <c r="R665" s="78"/>
      <c r="S665" s="78"/>
      <c r="T665" s="78"/>
      <c r="U665" s="78"/>
      <c r="V665" s="79"/>
    </row>
    <row r="666">
      <c r="A666" s="13"/>
      <c r="B666" s="13"/>
      <c r="C666" s="70"/>
      <c r="D666" s="70"/>
      <c r="E666" s="70"/>
      <c r="F666" s="70"/>
      <c r="O666" s="94"/>
      <c r="P666" s="23"/>
      <c r="Q666" s="78"/>
      <c r="R666" s="78"/>
      <c r="S666" s="78"/>
      <c r="T666" s="78"/>
      <c r="U666" s="78"/>
      <c r="V666" s="79"/>
    </row>
    <row r="667">
      <c r="A667" s="13"/>
      <c r="B667" s="13"/>
      <c r="C667" s="70"/>
      <c r="D667" s="70"/>
      <c r="E667" s="70"/>
      <c r="F667" s="70"/>
      <c r="O667" s="94"/>
      <c r="P667" s="23"/>
      <c r="Q667" s="78"/>
      <c r="R667" s="78"/>
      <c r="S667" s="78"/>
      <c r="T667" s="78"/>
      <c r="U667" s="78"/>
      <c r="V667" s="79"/>
    </row>
    <row r="668">
      <c r="A668" s="13"/>
      <c r="B668" s="13"/>
      <c r="C668" s="70"/>
      <c r="D668" s="70"/>
      <c r="E668" s="70"/>
      <c r="F668" s="70"/>
      <c r="O668" s="94"/>
      <c r="P668" s="23"/>
      <c r="Q668" s="78"/>
      <c r="R668" s="78"/>
      <c r="S668" s="78"/>
      <c r="T668" s="78"/>
      <c r="U668" s="78"/>
      <c r="V668" s="79"/>
    </row>
    <row r="669">
      <c r="A669" s="13"/>
      <c r="B669" s="13"/>
      <c r="C669" s="70"/>
      <c r="D669" s="70"/>
      <c r="E669" s="70"/>
      <c r="F669" s="70"/>
      <c r="O669" s="94"/>
      <c r="P669" s="23"/>
      <c r="Q669" s="78"/>
      <c r="R669" s="78"/>
      <c r="S669" s="78"/>
      <c r="T669" s="78"/>
      <c r="U669" s="78"/>
      <c r="V669" s="79"/>
    </row>
    <row r="670">
      <c r="A670" s="13"/>
      <c r="B670" s="13"/>
      <c r="C670" s="70"/>
      <c r="D670" s="70"/>
      <c r="E670" s="70"/>
      <c r="F670" s="70"/>
      <c r="O670" s="94"/>
      <c r="P670" s="23"/>
      <c r="Q670" s="78"/>
      <c r="R670" s="78"/>
      <c r="S670" s="78"/>
      <c r="T670" s="78"/>
      <c r="U670" s="78"/>
      <c r="V670" s="79"/>
    </row>
    <row r="671">
      <c r="A671" s="13"/>
      <c r="B671" s="13"/>
      <c r="C671" s="70"/>
      <c r="D671" s="70"/>
      <c r="E671" s="70"/>
      <c r="F671" s="70"/>
      <c r="O671" s="94"/>
      <c r="P671" s="23"/>
      <c r="Q671" s="78"/>
      <c r="R671" s="78"/>
      <c r="S671" s="78"/>
      <c r="T671" s="78"/>
      <c r="U671" s="78"/>
      <c r="V671" s="79"/>
    </row>
    <row r="672">
      <c r="A672" s="13"/>
      <c r="B672" s="13"/>
      <c r="C672" s="70"/>
      <c r="D672" s="70"/>
      <c r="E672" s="70"/>
      <c r="F672" s="70"/>
      <c r="O672" s="94"/>
      <c r="P672" s="23"/>
      <c r="Q672" s="78"/>
      <c r="R672" s="78"/>
      <c r="S672" s="78"/>
      <c r="T672" s="78"/>
      <c r="U672" s="78"/>
      <c r="V672" s="79"/>
    </row>
    <row r="673">
      <c r="A673" s="13"/>
      <c r="B673" s="13"/>
      <c r="C673" s="70"/>
      <c r="D673" s="70"/>
      <c r="E673" s="70"/>
      <c r="F673" s="70"/>
      <c r="O673" s="94"/>
      <c r="P673" s="23"/>
      <c r="Q673" s="78"/>
      <c r="R673" s="78"/>
      <c r="S673" s="78"/>
      <c r="T673" s="78"/>
      <c r="U673" s="78"/>
      <c r="V673" s="79"/>
    </row>
    <row r="674">
      <c r="A674" s="13"/>
      <c r="B674" s="13"/>
      <c r="C674" s="70"/>
      <c r="D674" s="70"/>
      <c r="E674" s="70"/>
      <c r="F674" s="70"/>
      <c r="O674" s="94"/>
      <c r="P674" s="23"/>
      <c r="Q674" s="78"/>
      <c r="R674" s="78"/>
      <c r="S674" s="78"/>
      <c r="T674" s="78"/>
      <c r="U674" s="78"/>
      <c r="V674" s="79"/>
    </row>
    <row r="675">
      <c r="A675" s="13"/>
      <c r="B675" s="13"/>
      <c r="C675" s="70"/>
      <c r="D675" s="70"/>
      <c r="E675" s="70"/>
      <c r="F675" s="70"/>
      <c r="O675" s="94"/>
      <c r="P675" s="23"/>
      <c r="Q675" s="78"/>
      <c r="R675" s="78"/>
      <c r="S675" s="78"/>
      <c r="T675" s="78"/>
      <c r="U675" s="78"/>
      <c r="V675" s="79"/>
    </row>
    <row r="676">
      <c r="A676" s="13"/>
      <c r="B676" s="13"/>
      <c r="C676" s="70"/>
      <c r="D676" s="70"/>
      <c r="E676" s="70"/>
      <c r="F676" s="70"/>
      <c r="O676" s="94"/>
      <c r="P676" s="23"/>
      <c r="Q676" s="78"/>
      <c r="R676" s="78"/>
      <c r="S676" s="78"/>
      <c r="T676" s="78"/>
      <c r="U676" s="78"/>
      <c r="V676" s="79"/>
    </row>
    <row r="677">
      <c r="A677" s="13"/>
      <c r="B677" s="13"/>
      <c r="C677" s="70"/>
      <c r="D677" s="70"/>
      <c r="E677" s="70"/>
      <c r="F677" s="70"/>
      <c r="O677" s="94"/>
      <c r="P677" s="23"/>
      <c r="Q677" s="78"/>
      <c r="R677" s="78"/>
      <c r="S677" s="78"/>
      <c r="T677" s="78"/>
      <c r="U677" s="78"/>
      <c r="V677" s="79"/>
    </row>
    <row r="678">
      <c r="A678" s="13"/>
      <c r="B678" s="13"/>
      <c r="C678" s="70"/>
      <c r="D678" s="70"/>
      <c r="E678" s="70"/>
      <c r="F678" s="70"/>
      <c r="O678" s="94"/>
      <c r="P678" s="23"/>
      <c r="Q678" s="78"/>
      <c r="R678" s="78"/>
      <c r="S678" s="78"/>
      <c r="T678" s="78"/>
      <c r="U678" s="78"/>
      <c r="V678" s="79"/>
    </row>
    <row r="679">
      <c r="A679" s="13"/>
      <c r="B679" s="13"/>
      <c r="C679" s="70"/>
      <c r="D679" s="70"/>
      <c r="E679" s="70"/>
      <c r="F679" s="70"/>
      <c r="O679" s="94"/>
      <c r="P679" s="23"/>
      <c r="Q679" s="78"/>
      <c r="R679" s="78"/>
      <c r="S679" s="78"/>
      <c r="T679" s="78"/>
      <c r="U679" s="78"/>
      <c r="V679" s="79"/>
    </row>
    <row r="680">
      <c r="A680" s="13"/>
      <c r="B680" s="13"/>
      <c r="C680" s="70"/>
      <c r="D680" s="70"/>
      <c r="E680" s="70"/>
      <c r="F680" s="70"/>
      <c r="O680" s="94"/>
      <c r="P680" s="23"/>
      <c r="Q680" s="78"/>
      <c r="R680" s="78"/>
      <c r="S680" s="78"/>
      <c r="T680" s="78"/>
      <c r="U680" s="78"/>
      <c r="V680" s="79"/>
    </row>
    <row r="681">
      <c r="A681" s="13"/>
      <c r="B681" s="13"/>
      <c r="C681" s="70"/>
      <c r="D681" s="70"/>
      <c r="E681" s="70"/>
      <c r="F681" s="70"/>
      <c r="O681" s="94"/>
      <c r="P681" s="23"/>
      <c r="Q681" s="78"/>
      <c r="R681" s="78"/>
      <c r="S681" s="78"/>
      <c r="T681" s="78"/>
      <c r="U681" s="78"/>
      <c r="V681" s="79"/>
    </row>
    <row r="682">
      <c r="A682" s="13"/>
      <c r="B682" s="13"/>
      <c r="C682" s="70"/>
      <c r="D682" s="70"/>
      <c r="E682" s="70"/>
      <c r="F682" s="70"/>
      <c r="O682" s="94"/>
      <c r="P682" s="23"/>
      <c r="Q682" s="78"/>
      <c r="R682" s="78"/>
      <c r="S682" s="78"/>
      <c r="T682" s="78"/>
      <c r="U682" s="78"/>
      <c r="V682" s="79"/>
    </row>
    <row r="683">
      <c r="A683" s="13"/>
      <c r="B683" s="13"/>
      <c r="C683" s="70"/>
      <c r="D683" s="70"/>
      <c r="E683" s="70"/>
      <c r="F683" s="70"/>
      <c r="O683" s="94"/>
      <c r="P683" s="23"/>
      <c r="Q683" s="78"/>
      <c r="R683" s="78"/>
      <c r="S683" s="78"/>
      <c r="T683" s="78"/>
      <c r="U683" s="78"/>
      <c r="V683" s="79"/>
    </row>
    <row r="684">
      <c r="A684" s="13"/>
      <c r="B684" s="13"/>
      <c r="C684" s="70"/>
      <c r="D684" s="70"/>
      <c r="E684" s="70"/>
      <c r="F684" s="70"/>
      <c r="O684" s="94"/>
      <c r="P684" s="23"/>
      <c r="Q684" s="78"/>
      <c r="R684" s="78"/>
      <c r="S684" s="78"/>
      <c r="T684" s="78"/>
      <c r="U684" s="78"/>
      <c r="V684" s="79"/>
    </row>
    <row r="685">
      <c r="A685" s="13"/>
      <c r="B685" s="13"/>
      <c r="C685" s="70"/>
      <c r="D685" s="70"/>
      <c r="E685" s="70"/>
      <c r="F685" s="70"/>
      <c r="O685" s="94"/>
      <c r="P685" s="23"/>
      <c r="Q685" s="78"/>
      <c r="R685" s="78"/>
      <c r="S685" s="78"/>
      <c r="T685" s="78"/>
      <c r="U685" s="78"/>
      <c r="V685" s="79"/>
    </row>
    <row r="686">
      <c r="A686" s="13"/>
      <c r="B686" s="13"/>
      <c r="C686" s="70"/>
      <c r="D686" s="70"/>
      <c r="E686" s="70"/>
      <c r="F686" s="70"/>
      <c r="O686" s="94"/>
      <c r="P686" s="23"/>
      <c r="Q686" s="78"/>
      <c r="R686" s="78"/>
      <c r="S686" s="78"/>
      <c r="T686" s="78"/>
      <c r="U686" s="78"/>
      <c r="V686" s="79"/>
    </row>
    <row r="687">
      <c r="A687" s="13"/>
      <c r="B687" s="13"/>
      <c r="C687" s="70"/>
      <c r="D687" s="70"/>
      <c r="E687" s="70"/>
      <c r="F687" s="70"/>
      <c r="O687" s="94"/>
      <c r="P687" s="23"/>
      <c r="Q687" s="78"/>
      <c r="R687" s="78"/>
      <c r="S687" s="78"/>
      <c r="T687" s="78"/>
      <c r="U687" s="78"/>
      <c r="V687" s="79"/>
    </row>
    <row r="688">
      <c r="A688" s="13"/>
      <c r="B688" s="13"/>
      <c r="C688" s="70"/>
      <c r="D688" s="70"/>
      <c r="E688" s="70"/>
      <c r="F688" s="70"/>
      <c r="O688" s="94"/>
      <c r="P688" s="23"/>
      <c r="Q688" s="78"/>
      <c r="R688" s="78"/>
      <c r="S688" s="78"/>
      <c r="T688" s="78"/>
      <c r="U688" s="78"/>
      <c r="V688" s="79"/>
    </row>
    <row r="689">
      <c r="A689" s="13"/>
      <c r="B689" s="13"/>
      <c r="C689" s="70"/>
      <c r="D689" s="70"/>
      <c r="E689" s="70"/>
      <c r="F689" s="70"/>
      <c r="O689" s="94"/>
      <c r="P689" s="23"/>
      <c r="Q689" s="78"/>
      <c r="R689" s="78"/>
      <c r="S689" s="78"/>
      <c r="T689" s="78"/>
      <c r="U689" s="78"/>
      <c r="V689" s="79"/>
    </row>
    <row r="690">
      <c r="A690" s="13"/>
      <c r="B690" s="13"/>
      <c r="C690" s="70"/>
      <c r="D690" s="70"/>
      <c r="E690" s="70"/>
      <c r="F690" s="70"/>
      <c r="O690" s="94"/>
      <c r="P690" s="23"/>
      <c r="Q690" s="78"/>
      <c r="R690" s="78"/>
      <c r="S690" s="78"/>
      <c r="T690" s="78"/>
      <c r="U690" s="78"/>
      <c r="V690" s="79"/>
    </row>
    <row r="691">
      <c r="A691" s="13"/>
      <c r="B691" s="13"/>
      <c r="C691" s="70"/>
      <c r="D691" s="70"/>
      <c r="E691" s="70"/>
      <c r="F691" s="70"/>
      <c r="O691" s="94"/>
      <c r="P691" s="23"/>
      <c r="Q691" s="78"/>
      <c r="R691" s="78"/>
      <c r="S691" s="78"/>
      <c r="T691" s="78"/>
      <c r="U691" s="78"/>
      <c r="V691" s="79"/>
    </row>
    <row r="692">
      <c r="A692" s="13"/>
      <c r="B692" s="13"/>
      <c r="C692" s="70"/>
      <c r="D692" s="70"/>
      <c r="E692" s="70"/>
      <c r="F692" s="70"/>
      <c r="O692" s="94"/>
      <c r="P692" s="23"/>
      <c r="Q692" s="78"/>
      <c r="R692" s="78"/>
      <c r="S692" s="78"/>
      <c r="T692" s="78"/>
      <c r="U692" s="78"/>
      <c r="V692" s="79"/>
    </row>
    <row r="693">
      <c r="A693" s="13"/>
      <c r="B693" s="13"/>
      <c r="C693" s="70"/>
      <c r="D693" s="70"/>
      <c r="E693" s="70"/>
      <c r="F693" s="70"/>
      <c r="O693" s="94"/>
      <c r="P693" s="23"/>
      <c r="Q693" s="78"/>
      <c r="R693" s="78"/>
      <c r="S693" s="78"/>
      <c r="T693" s="78"/>
      <c r="U693" s="78"/>
      <c r="V693" s="79"/>
    </row>
    <row r="694">
      <c r="A694" s="13"/>
      <c r="B694" s="13"/>
      <c r="C694" s="70"/>
      <c r="D694" s="70"/>
      <c r="E694" s="70"/>
      <c r="F694" s="70"/>
      <c r="O694" s="94"/>
      <c r="P694" s="23"/>
      <c r="Q694" s="78"/>
      <c r="R694" s="78"/>
      <c r="S694" s="78"/>
      <c r="T694" s="78"/>
      <c r="U694" s="78"/>
      <c r="V694" s="79"/>
    </row>
    <row r="695">
      <c r="A695" s="13"/>
      <c r="B695" s="13"/>
      <c r="C695" s="70"/>
      <c r="D695" s="70"/>
      <c r="E695" s="70"/>
      <c r="F695" s="70"/>
      <c r="O695" s="94"/>
      <c r="P695" s="23"/>
      <c r="Q695" s="78"/>
      <c r="R695" s="78"/>
      <c r="S695" s="78"/>
      <c r="T695" s="78"/>
      <c r="U695" s="78"/>
      <c r="V695" s="79"/>
    </row>
    <row r="696">
      <c r="A696" s="13"/>
      <c r="B696" s="13"/>
      <c r="C696" s="70"/>
      <c r="D696" s="70"/>
      <c r="E696" s="70"/>
      <c r="F696" s="70"/>
      <c r="O696" s="94"/>
      <c r="P696" s="23"/>
      <c r="Q696" s="78"/>
      <c r="R696" s="78"/>
      <c r="S696" s="78"/>
      <c r="T696" s="78"/>
      <c r="U696" s="78"/>
      <c r="V696" s="79"/>
    </row>
    <row r="697">
      <c r="A697" s="13"/>
      <c r="B697" s="13"/>
      <c r="C697" s="70"/>
      <c r="D697" s="70"/>
      <c r="E697" s="70"/>
      <c r="F697" s="70"/>
      <c r="O697" s="94"/>
      <c r="P697" s="23"/>
      <c r="Q697" s="78"/>
      <c r="R697" s="78"/>
      <c r="S697" s="78"/>
      <c r="T697" s="78"/>
      <c r="U697" s="78"/>
      <c r="V697" s="79"/>
    </row>
    <row r="698">
      <c r="A698" s="13"/>
      <c r="B698" s="13"/>
      <c r="C698" s="70"/>
      <c r="D698" s="70"/>
      <c r="E698" s="70"/>
      <c r="F698" s="70"/>
      <c r="O698" s="94"/>
      <c r="P698" s="23"/>
      <c r="Q698" s="78"/>
      <c r="R698" s="78"/>
      <c r="S698" s="78"/>
      <c r="T698" s="78"/>
      <c r="U698" s="78"/>
      <c r="V698" s="79"/>
    </row>
    <row r="699">
      <c r="A699" s="13"/>
      <c r="B699" s="13"/>
      <c r="C699" s="70"/>
      <c r="D699" s="70"/>
      <c r="E699" s="70"/>
      <c r="F699" s="70"/>
      <c r="O699" s="94"/>
      <c r="P699" s="23"/>
      <c r="Q699" s="78"/>
      <c r="R699" s="78"/>
      <c r="S699" s="78"/>
      <c r="T699" s="78"/>
      <c r="U699" s="78"/>
      <c r="V699" s="79"/>
    </row>
    <row r="700">
      <c r="A700" s="13"/>
      <c r="B700" s="13"/>
      <c r="C700" s="70"/>
      <c r="D700" s="70"/>
      <c r="E700" s="70"/>
      <c r="F700" s="70"/>
      <c r="O700" s="94"/>
      <c r="P700" s="23"/>
      <c r="Q700" s="78"/>
      <c r="R700" s="78"/>
      <c r="S700" s="78"/>
      <c r="T700" s="78"/>
      <c r="U700" s="78"/>
      <c r="V700" s="79"/>
    </row>
    <row r="701">
      <c r="A701" s="13"/>
      <c r="B701" s="13"/>
      <c r="C701" s="70"/>
      <c r="D701" s="70"/>
      <c r="E701" s="70"/>
      <c r="F701" s="70"/>
      <c r="O701" s="94"/>
      <c r="P701" s="23"/>
      <c r="Q701" s="78"/>
      <c r="R701" s="78"/>
      <c r="S701" s="78"/>
      <c r="T701" s="78"/>
      <c r="U701" s="78"/>
      <c r="V701" s="79"/>
    </row>
    <row r="702">
      <c r="A702" s="13"/>
      <c r="B702" s="13"/>
      <c r="C702" s="70"/>
      <c r="D702" s="70"/>
      <c r="E702" s="70"/>
      <c r="F702" s="70"/>
      <c r="O702" s="94"/>
      <c r="P702" s="23"/>
      <c r="Q702" s="78"/>
      <c r="R702" s="78"/>
      <c r="S702" s="78"/>
      <c r="T702" s="78"/>
      <c r="U702" s="78"/>
      <c r="V702" s="79"/>
    </row>
    <row r="703">
      <c r="A703" s="13"/>
      <c r="B703" s="13"/>
      <c r="C703" s="70"/>
      <c r="D703" s="70"/>
      <c r="E703" s="70"/>
      <c r="F703" s="70"/>
      <c r="O703" s="94"/>
      <c r="P703" s="23"/>
      <c r="Q703" s="78"/>
      <c r="R703" s="78"/>
      <c r="S703" s="78"/>
      <c r="T703" s="78"/>
      <c r="U703" s="78"/>
      <c r="V703" s="79"/>
    </row>
    <row r="704">
      <c r="A704" s="13"/>
      <c r="B704" s="13"/>
      <c r="C704" s="70"/>
      <c r="D704" s="70"/>
      <c r="E704" s="70"/>
      <c r="F704" s="70"/>
      <c r="O704" s="94"/>
      <c r="P704" s="23"/>
      <c r="Q704" s="78"/>
      <c r="R704" s="78"/>
      <c r="S704" s="78"/>
      <c r="T704" s="78"/>
      <c r="U704" s="78"/>
      <c r="V704" s="79"/>
    </row>
    <row r="705">
      <c r="A705" s="13"/>
      <c r="B705" s="13"/>
      <c r="C705" s="70"/>
      <c r="D705" s="70"/>
      <c r="E705" s="70"/>
      <c r="F705" s="70"/>
      <c r="O705" s="94"/>
      <c r="P705" s="23"/>
      <c r="Q705" s="78"/>
      <c r="R705" s="78"/>
      <c r="S705" s="78"/>
      <c r="T705" s="78"/>
      <c r="U705" s="78"/>
      <c r="V705" s="79"/>
    </row>
    <row r="706">
      <c r="A706" s="13"/>
      <c r="B706" s="13"/>
      <c r="C706" s="70"/>
      <c r="D706" s="70"/>
      <c r="E706" s="70"/>
      <c r="F706" s="70"/>
      <c r="O706" s="94"/>
      <c r="P706" s="23"/>
      <c r="Q706" s="78"/>
      <c r="R706" s="78"/>
      <c r="S706" s="78"/>
      <c r="T706" s="78"/>
      <c r="U706" s="78"/>
      <c r="V706" s="79"/>
    </row>
    <row r="707">
      <c r="A707" s="13"/>
      <c r="B707" s="13"/>
      <c r="C707" s="70"/>
      <c r="D707" s="70"/>
      <c r="E707" s="70"/>
      <c r="F707" s="70"/>
      <c r="O707" s="94"/>
      <c r="P707" s="23"/>
      <c r="Q707" s="78"/>
      <c r="R707" s="78"/>
      <c r="S707" s="78"/>
      <c r="T707" s="78"/>
      <c r="U707" s="78"/>
      <c r="V707" s="79"/>
    </row>
    <row r="708">
      <c r="A708" s="13"/>
      <c r="B708" s="13"/>
      <c r="C708" s="70"/>
      <c r="D708" s="70"/>
      <c r="E708" s="70"/>
      <c r="F708" s="70"/>
      <c r="O708" s="94"/>
      <c r="P708" s="23"/>
      <c r="Q708" s="78"/>
      <c r="R708" s="78"/>
      <c r="S708" s="78"/>
      <c r="T708" s="78"/>
      <c r="U708" s="78"/>
      <c r="V708" s="79"/>
    </row>
    <row r="709">
      <c r="A709" s="13"/>
      <c r="B709" s="13"/>
      <c r="C709" s="70"/>
      <c r="D709" s="70"/>
      <c r="E709" s="70"/>
      <c r="F709" s="70"/>
      <c r="O709" s="94"/>
      <c r="P709" s="23"/>
      <c r="Q709" s="78"/>
      <c r="R709" s="78"/>
      <c r="S709" s="78"/>
      <c r="T709" s="78"/>
      <c r="U709" s="78"/>
      <c r="V709" s="79"/>
    </row>
    <row r="710">
      <c r="A710" s="13"/>
      <c r="B710" s="13"/>
      <c r="C710" s="70"/>
      <c r="D710" s="70"/>
      <c r="E710" s="70"/>
      <c r="F710" s="70"/>
      <c r="O710" s="94"/>
      <c r="P710" s="23"/>
      <c r="Q710" s="78"/>
      <c r="R710" s="78"/>
      <c r="S710" s="78"/>
      <c r="T710" s="78"/>
      <c r="U710" s="78"/>
      <c r="V710" s="79"/>
    </row>
    <row r="711">
      <c r="A711" s="13"/>
      <c r="B711" s="13"/>
      <c r="C711" s="70"/>
      <c r="D711" s="70"/>
      <c r="E711" s="70"/>
      <c r="F711" s="70"/>
      <c r="O711" s="94"/>
      <c r="P711" s="23"/>
      <c r="Q711" s="78"/>
      <c r="R711" s="78"/>
      <c r="S711" s="78"/>
      <c r="T711" s="78"/>
      <c r="U711" s="78"/>
      <c r="V711" s="79"/>
    </row>
    <row r="712">
      <c r="A712" s="13"/>
      <c r="B712" s="13"/>
      <c r="C712" s="70"/>
      <c r="D712" s="70"/>
      <c r="E712" s="70"/>
      <c r="F712" s="70"/>
      <c r="O712" s="94"/>
      <c r="P712" s="23"/>
      <c r="Q712" s="78"/>
      <c r="R712" s="78"/>
      <c r="S712" s="78"/>
      <c r="T712" s="78"/>
      <c r="U712" s="78"/>
      <c r="V712" s="79"/>
    </row>
    <row r="713">
      <c r="A713" s="13"/>
      <c r="B713" s="13"/>
      <c r="C713" s="70"/>
      <c r="D713" s="70"/>
      <c r="E713" s="70"/>
      <c r="F713" s="70"/>
      <c r="O713" s="94"/>
      <c r="P713" s="23"/>
      <c r="Q713" s="78"/>
      <c r="R713" s="78"/>
      <c r="S713" s="78"/>
      <c r="T713" s="78"/>
      <c r="U713" s="78"/>
      <c r="V713" s="79"/>
    </row>
    <row r="714">
      <c r="A714" s="13"/>
      <c r="B714" s="13"/>
      <c r="C714" s="70"/>
      <c r="D714" s="70"/>
      <c r="E714" s="70"/>
      <c r="F714" s="70"/>
      <c r="O714" s="94"/>
      <c r="P714" s="23"/>
      <c r="Q714" s="78"/>
      <c r="R714" s="78"/>
      <c r="S714" s="78"/>
      <c r="T714" s="78"/>
      <c r="U714" s="78"/>
      <c r="V714" s="79"/>
    </row>
    <row r="715">
      <c r="A715" s="13"/>
      <c r="B715" s="13"/>
      <c r="C715" s="70"/>
      <c r="D715" s="70"/>
      <c r="E715" s="70"/>
      <c r="F715" s="70"/>
      <c r="O715" s="94"/>
      <c r="P715" s="23"/>
      <c r="Q715" s="78"/>
      <c r="R715" s="78"/>
      <c r="S715" s="78"/>
      <c r="T715" s="78"/>
      <c r="U715" s="78"/>
      <c r="V715" s="79"/>
    </row>
    <row r="716">
      <c r="A716" s="13"/>
      <c r="B716" s="13"/>
      <c r="C716" s="70"/>
      <c r="D716" s="70"/>
      <c r="E716" s="70"/>
      <c r="F716" s="70"/>
      <c r="O716" s="94"/>
      <c r="P716" s="23"/>
      <c r="Q716" s="78"/>
      <c r="R716" s="78"/>
      <c r="S716" s="78"/>
      <c r="T716" s="78"/>
      <c r="U716" s="78"/>
      <c r="V716" s="79"/>
    </row>
    <row r="717">
      <c r="A717" s="13"/>
      <c r="B717" s="13"/>
      <c r="C717" s="70"/>
      <c r="D717" s="70"/>
      <c r="E717" s="70"/>
      <c r="F717" s="70"/>
      <c r="O717" s="94"/>
      <c r="P717" s="23"/>
      <c r="Q717" s="78"/>
      <c r="R717" s="78"/>
      <c r="S717" s="78"/>
      <c r="T717" s="78"/>
      <c r="U717" s="78"/>
      <c r="V717" s="79"/>
    </row>
    <row r="718">
      <c r="A718" s="13"/>
      <c r="B718" s="13"/>
      <c r="C718" s="70"/>
      <c r="D718" s="70"/>
      <c r="E718" s="70"/>
      <c r="F718" s="70"/>
      <c r="O718" s="94"/>
      <c r="P718" s="23"/>
      <c r="Q718" s="78"/>
      <c r="R718" s="78"/>
      <c r="S718" s="78"/>
      <c r="T718" s="78"/>
      <c r="U718" s="78"/>
      <c r="V718" s="79"/>
    </row>
    <row r="719">
      <c r="A719" s="13"/>
      <c r="B719" s="13"/>
      <c r="C719" s="70"/>
      <c r="D719" s="70"/>
      <c r="E719" s="70"/>
      <c r="F719" s="70"/>
      <c r="O719" s="94"/>
      <c r="P719" s="23"/>
      <c r="Q719" s="78"/>
      <c r="R719" s="78"/>
      <c r="S719" s="78"/>
      <c r="T719" s="78"/>
      <c r="U719" s="78"/>
      <c r="V719" s="79"/>
    </row>
    <row r="720">
      <c r="A720" s="13"/>
      <c r="B720" s="13"/>
      <c r="C720" s="70"/>
      <c r="D720" s="70"/>
      <c r="E720" s="70"/>
      <c r="F720" s="70"/>
      <c r="O720" s="94"/>
      <c r="P720" s="23"/>
      <c r="Q720" s="78"/>
      <c r="R720" s="78"/>
      <c r="S720" s="78"/>
      <c r="T720" s="78"/>
      <c r="U720" s="78"/>
      <c r="V720" s="79"/>
    </row>
    <row r="721">
      <c r="A721" s="13"/>
      <c r="B721" s="13"/>
      <c r="C721" s="70"/>
      <c r="D721" s="70"/>
      <c r="E721" s="70"/>
      <c r="F721" s="70"/>
      <c r="O721" s="94"/>
      <c r="P721" s="23"/>
      <c r="Q721" s="78"/>
      <c r="R721" s="78"/>
      <c r="S721" s="78"/>
      <c r="T721" s="78"/>
      <c r="U721" s="78"/>
      <c r="V721" s="79"/>
    </row>
    <row r="722">
      <c r="A722" s="13"/>
      <c r="B722" s="13"/>
      <c r="C722" s="70"/>
      <c r="D722" s="70"/>
      <c r="E722" s="70"/>
      <c r="F722" s="70"/>
      <c r="O722" s="94"/>
      <c r="P722" s="23"/>
      <c r="Q722" s="78"/>
      <c r="R722" s="78"/>
      <c r="S722" s="78"/>
      <c r="T722" s="78"/>
      <c r="U722" s="78"/>
      <c r="V722" s="79"/>
    </row>
    <row r="723">
      <c r="A723" s="13"/>
      <c r="B723" s="13"/>
      <c r="C723" s="70"/>
      <c r="D723" s="70"/>
      <c r="E723" s="70"/>
      <c r="F723" s="70"/>
      <c r="O723" s="94"/>
      <c r="P723" s="23"/>
      <c r="Q723" s="78"/>
      <c r="R723" s="78"/>
      <c r="S723" s="78"/>
      <c r="T723" s="78"/>
      <c r="U723" s="78"/>
      <c r="V723" s="79"/>
    </row>
    <row r="724">
      <c r="A724" s="13"/>
      <c r="B724" s="13"/>
      <c r="C724" s="70"/>
      <c r="D724" s="70"/>
      <c r="E724" s="70"/>
      <c r="F724" s="70"/>
      <c r="O724" s="94"/>
      <c r="P724" s="23"/>
      <c r="Q724" s="78"/>
      <c r="R724" s="78"/>
      <c r="S724" s="78"/>
      <c r="T724" s="78"/>
      <c r="U724" s="78"/>
      <c r="V724" s="79"/>
    </row>
    <row r="725">
      <c r="A725" s="13"/>
      <c r="B725" s="13"/>
      <c r="C725" s="70"/>
      <c r="D725" s="70"/>
      <c r="E725" s="70"/>
      <c r="F725" s="70"/>
      <c r="O725" s="94"/>
      <c r="P725" s="23"/>
      <c r="Q725" s="78"/>
      <c r="R725" s="78"/>
      <c r="S725" s="78"/>
      <c r="T725" s="78"/>
      <c r="U725" s="78"/>
      <c r="V725" s="79"/>
    </row>
    <row r="726">
      <c r="A726" s="13"/>
      <c r="B726" s="13"/>
      <c r="C726" s="70"/>
      <c r="D726" s="70"/>
      <c r="E726" s="70"/>
      <c r="F726" s="70"/>
      <c r="O726" s="94"/>
      <c r="P726" s="23"/>
      <c r="Q726" s="78"/>
      <c r="R726" s="78"/>
      <c r="S726" s="78"/>
      <c r="T726" s="78"/>
      <c r="U726" s="78"/>
      <c r="V726" s="79"/>
    </row>
    <row r="727">
      <c r="A727" s="13"/>
      <c r="B727" s="13"/>
      <c r="C727" s="70"/>
      <c r="D727" s="70"/>
      <c r="E727" s="70"/>
      <c r="F727" s="70"/>
      <c r="O727" s="94"/>
      <c r="P727" s="23"/>
      <c r="Q727" s="78"/>
      <c r="R727" s="78"/>
      <c r="S727" s="78"/>
      <c r="T727" s="78"/>
      <c r="U727" s="78"/>
      <c r="V727" s="79"/>
    </row>
    <row r="728">
      <c r="A728" s="13"/>
      <c r="B728" s="13"/>
      <c r="C728" s="70"/>
      <c r="D728" s="70"/>
      <c r="E728" s="70"/>
      <c r="F728" s="70"/>
      <c r="O728" s="94"/>
      <c r="P728" s="23"/>
      <c r="Q728" s="78"/>
      <c r="R728" s="78"/>
      <c r="S728" s="78"/>
      <c r="T728" s="78"/>
      <c r="U728" s="78"/>
      <c r="V728" s="79"/>
    </row>
    <row r="729">
      <c r="A729" s="13"/>
      <c r="B729" s="13"/>
      <c r="C729" s="70"/>
      <c r="D729" s="70"/>
      <c r="E729" s="70"/>
      <c r="F729" s="70"/>
      <c r="O729" s="94"/>
      <c r="P729" s="23"/>
      <c r="Q729" s="78"/>
      <c r="R729" s="78"/>
      <c r="S729" s="78"/>
      <c r="T729" s="78"/>
      <c r="U729" s="78"/>
      <c r="V729" s="79"/>
    </row>
    <row r="730">
      <c r="A730" s="13"/>
      <c r="B730" s="13"/>
      <c r="C730" s="70"/>
      <c r="D730" s="70"/>
      <c r="E730" s="70"/>
      <c r="F730" s="70"/>
      <c r="O730" s="94"/>
      <c r="P730" s="23"/>
      <c r="Q730" s="78"/>
      <c r="R730" s="78"/>
      <c r="S730" s="78"/>
      <c r="T730" s="78"/>
      <c r="U730" s="78"/>
      <c r="V730" s="79"/>
    </row>
    <row r="731">
      <c r="A731" s="13"/>
      <c r="B731" s="13"/>
      <c r="C731" s="70"/>
      <c r="D731" s="70"/>
      <c r="E731" s="70"/>
      <c r="F731" s="70"/>
      <c r="O731" s="94"/>
      <c r="P731" s="23"/>
      <c r="Q731" s="78"/>
      <c r="R731" s="78"/>
      <c r="S731" s="78"/>
      <c r="T731" s="78"/>
      <c r="U731" s="78"/>
      <c r="V731" s="79"/>
    </row>
    <row r="732">
      <c r="A732" s="13"/>
      <c r="B732" s="13"/>
      <c r="C732" s="70"/>
      <c r="D732" s="70"/>
      <c r="E732" s="70"/>
      <c r="F732" s="70"/>
      <c r="O732" s="94"/>
      <c r="P732" s="23"/>
      <c r="Q732" s="78"/>
      <c r="R732" s="78"/>
      <c r="S732" s="78"/>
      <c r="T732" s="78"/>
      <c r="U732" s="78"/>
      <c r="V732" s="79"/>
    </row>
    <row r="733">
      <c r="A733" s="13"/>
      <c r="B733" s="13"/>
      <c r="C733" s="70"/>
      <c r="D733" s="70"/>
      <c r="E733" s="70"/>
      <c r="F733" s="70"/>
      <c r="O733" s="94"/>
      <c r="P733" s="23"/>
      <c r="Q733" s="78"/>
      <c r="R733" s="78"/>
      <c r="S733" s="78"/>
      <c r="T733" s="78"/>
      <c r="U733" s="78"/>
      <c r="V733" s="79"/>
    </row>
    <row r="734">
      <c r="A734" s="13"/>
      <c r="B734" s="13"/>
      <c r="C734" s="70"/>
      <c r="D734" s="70"/>
      <c r="E734" s="70"/>
      <c r="F734" s="70"/>
      <c r="O734" s="94"/>
      <c r="P734" s="23"/>
      <c r="Q734" s="78"/>
      <c r="R734" s="78"/>
      <c r="S734" s="78"/>
      <c r="T734" s="78"/>
      <c r="U734" s="78"/>
      <c r="V734" s="79"/>
    </row>
    <row r="735">
      <c r="A735" s="13"/>
      <c r="B735" s="13"/>
      <c r="C735" s="70"/>
      <c r="D735" s="70"/>
      <c r="E735" s="70"/>
      <c r="F735" s="70"/>
      <c r="O735" s="94"/>
      <c r="P735" s="23"/>
      <c r="Q735" s="78"/>
      <c r="R735" s="78"/>
      <c r="S735" s="78"/>
      <c r="T735" s="78"/>
      <c r="U735" s="78"/>
      <c r="V735" s="79"/>
    </row>
    <row r="736">
      <c r="A736" s="13"/>
      <c r="B736" s="13"/>
      <c r="C736" s="70"/>
      <c r="D736" s="70"/>
      <c r="E736" s="70"/>
      <c r="F736" s="70"/>
      <c r="O736" s="94"/>
      <c r="P736" s="23"/>
      <c r="Q736" s="78"/>
      <c r="R736" s="78"/>
      <c r="S736" s="78"/>
      <c r="T736" s="78"/>
      <c r="U736" s="78"/>
      <c r="V736" s="79"/>
    </row>
    <row r="737">
      <c r="A737" s="13"/>
      <c r="B737" s="13"/>
      <c r="C737" s="70"/>
      <c r="D737" s="70"/>
      <c r="E737" s="70"/>
      <c r="F737" s="70"/>
      <c r="O737" s="94"/>
      <c r="P737" s="23"/>
      <c r="Q737" s="78"/>
      <c r="R737" s="78"/>
      <c r="S737" s="78"/>
      <c r="T737" s="78"/>
      <c r="U737" s="78"/>
      <c r="V737" s="79"/>
    </row>
    <row r="738">
      <c r="A738" s="13"/>
      <c r="B738" s="13"/>
      <c r="C738" s="70"/>
      <c r="D738" s="70"/>
      <c r="E738" s="70"/>
      <c r="F738" s="70"/>
      <c r="O738" s="94"/>
      <c r="P738" s="23"/>
      <c r="Q738" s="78"/>
      <c r="R738" s="78"/>
      <c r="S738" s="78"/>
      <c r="T738" s="78"/>
      <c r="U738" s="78"/>
      <c r="V738" s="79"/>
    </row>
    <row r="739">
      <c r="A739" s="13"/>
      <c r="B739" s="13"/>
      <c r="C739" s="70"/>
      <c r="D739" s="70"/>
      <c r="E739" s="70"/>
      <c r="F739" s="70"/>
      <c r="O739" s="94"/>
      <c r="P739" s="23"/>
      <c r="Q739" s="78"/>
      <c r="R739" s="78"/>
      <c r="S739" s="78"/>
      <c r="T739" s="78"/>
      <c r="U739" s="78"/>
      <c r="V739" s="79"/>
    </row>
    <row r="740">
      <c r="A740" s="13"/>
      <c r="B740" s="13"/>
      <c r="C740" s="70"/>
      <c r="D740" s="70"/>
      <c r="E740" s="70"/>
      <c r="F740" s="70"/>
      <c r="O740" s="94"/>
      <c r="P740" s="23"/>
      <c r="Q740" s="78"/>
      <c r="R740" s="78"/>
      <c r="S740" s="78"/>
      <c r="T740" s="78"/>
      <c r="U740" s="78"/>
      <c r="V740" s="79"/>
    </row>
    <row r="741">
      <c r="A741" s="13"/>
      <c r="B741" s="13"/>
      <c r="C741" s="70"/>
      <c r="D741" s="70"/>
      <c r="E741" s="70"/>
      <c r="F741" s="70"/>
      <c r="O741" s="94"/>
      <c r="P741" s="23"/>
      <c r="Q741" s="78"/>
      <c r="R741" s="78"/>
      <c r="S741" s="78"/>
      <c r="T741" s="78"/>
      <c r="U741" s="78"/>
      <c r="V741" s="79"/>
    </row>
    <row r="742">
      <c r="A742" s="13"/>
      <c r="B742" s="13"/>
      <c r="C742" s="70"/>
      <c r="D742" s="70"/>
      <c r="E742" s="70"/>
      <c r="F742" s="70"/>
      <c r="O742" s="94"/>
      <c r="P742" s="23"/>
      <c r="Q742" s="78"/>
      <c r="R742" s="78"/>
      <c r="S742" s="78"/>
      <c r="T742" s="78"/>
      <c r="U742" s="78"/>
      <c r="V742" s="79"/>
    </row>
    <row r="743">
      <c r="A743" s="13"/>
      <c r="B743" s="13"/>
      <c r="C743" s="70"/>
      <c r="D743" s="70"/>
      <c r="E743" s="70"/>
      <c r="F743" s="70"/>
      <c r="O743" s="94"/>
      <c r="P743" s="23"/>
      <c r="Q743" s="78"/>
      <c r="R743" s="78"/>
      <c r="S743" s="78"/>
      <c r="T743" s="78"/>
      <c r="U743" s="78"/>
      <c r="V743" s="79"/>
    </row>
    <row r="744">
      <c r="A744" s="13"/>
      <c r="B744" s="13"/>
      <c r="C744" s="70"/>
      <c r="D744" s="70"/>
      <c r="E744" s="70"/>
      <c r="F744" s="70"/>
      <c r="O744" s="94"/>
      <c r="P744" s="23"/>
      <c r="Q744" s="78"/>
      <c r="R744" s="78"/>
      <c r="S744" s="78"/>
      <c r="T744" s="78"/>
      <c r="U744" s="78"/>
      <c r="V744" s="79"/>
    </row>
    <row r="745">
      <c r="A745" s="13"/>
      <c r="B745" s="13"/>
      <c r="C745" s="70"/>
      <c r="D745" s="70"/>
      <c r="E745" s="70"/>
      <c r="F745" s="70"/>
      <c r="O745" s="94"/>
      <c r="P745" s="23"/>
      <c r="Q745" s="78"/>
      <c r="R745" s="78"/>
      <c r="S745" s="78"/>
      <c r="T745" s="78"/>
      <c r="U745" s="78"/>
      <c r="V745" s="79"/>
    </row>
    <row r="746">
      <c r="A746" s="13"/>
      <c r="B746" s="13"/>
      <c r="C746" s="70"/>
      <c r="D746" s="70"/>
      <c r="E746" s="70"/>
      <c r="F746" s="70"/>
      <c r="O746" s="94"/>
      <c r="P746" s="23"/>
      <c r="Q746" s="78"/>
      <c r="R746" s="78"/>
      <c r="S746" s="78"/>
      <c r="T746" s="78"/>
      <c r="U746" s="78"/>
      <c r="V746" s="79"/>
    </row>
    <row r="747">
      <c r="A747" s="13"/>
      <c r="B747" s="13"/>
      <c r="C747" s="70"/>
      <c r="D747" s="70"/>
      <c r="E747" s="70"/>
      <c r="F747" s="70"/>
      <c r="O747" s="94"/>
      <c r="P747" s="23"/>
      <c r="Q747" s="78"/>
      <c r="R747" s="78"/>
      <c r="S747" s="78"/>
      <c r="T747" s="78"/>
      <c r="U747" s="78"/>
      <c r="V747" s="79"/>
    </row>
    <row r="748">
      <c r="A748" s="13"/>
      <c r="B748" s="13"/>
      <c r="C748" s="70"/>
      <c r="D748" s="70"/>
      <c r="E748" s="70"/>
      <c r="F748" s="70"/>
      <c r="O748" s="94"/>
      <c r="P748" s="23"/>
      <c r="Q748" s="78"/>
      <c r="R748" s="78"/>
      <c r="S748" s="78"/>
      <c r="T748" s="78"/>
      <c r="U748" s="78"/>
      <c r="V748" s="79"/>
    </row>
    <row r="749">
      <c r="A749" s="13"/>
      <c r="B749" s="13"/>
      <c r="C749" s="70"/>
      <c r="D749" s="70"/>
      <c r="E749" s="70"/>
      <c r="F749" s="70"/>
      <c r="O749" s="94"/>
      <c r="P749" s="23"/>
      <c r="Q749" s="78"/>
      <c r="R749" s="78"/>
      <c r="S749" s="78"/>
      <c r="T749" s="78"/>
      <c r="U749" s="78"/>
      <c r="V749" s="79"/>
    </row>
    <row r="750">
      <c r="A750" s="13"/>
      <c r="B750" s="13"/>
      <c r="C750" s="70"/>
      <c r="D750" s="70"/>
      <c r="E750" s="70"/>
      <c r="F750" s="70"/>
      <c r="O750" s="94"/>
      <c r="P750" s="23"/>
      <c r="Q750" s="78"/>
      <c r="R750" s="78"/>
      <c r="S750" s="78"/>
      <c r="T750" s="78"/>
      <c r="U750" s="78"/>
      <c r="V750" s="79"/>
    </row>
    <row r="751">
      <c r="A751" s="13"/>
      <c r="B751" s="13"/>
      <c r="C751" s="70"/>
      <c r="D751" s="70"/>
      <c r="E751" s="70"/>
      <c r="F751" s="70"/>
      <c r="O751" s="94"/>
      <c r="P751" s="23"/>
      <c r="Q751" s="78"/>
      <c r="R751" s="78"/>
      <c r="S751" s="78"/>
      <c r="T751" s="78"/>
      <c r="U751" s="78"/>
      <c r="V751" s="79"/>
    </row>
    <row r="752">
      <c r="A752" s="13"/>
      <c r="B752" s="13"/>
      <c r="C752" s="70"/>
      <c r="D752" s="70"/>
      <c r="E752" s="70"/>
      <c r="F752" s="70"/>
      <c r="O752" s="94"/>
      <c r="P752" s="23"/>
      <c r="Q752" s="78"/>
      <c r="R752" s="78"/>
      <c r="S752" s="78"/>
      <c r="T752" s="78"/>
      <c r="U752" s="78"/>
      <c r="V752" s="79"/>
    </row>
    <row r="753">
      <c r="A753" s="13"/>
      <c r="B753" s="13"/>
      <c r="C753" s="70"/>
      <c r="D753" s="70"/>
      <c r="E753" s="70"/>
      <c r="F753" s="70"/>
      <c r="O753" s="94"/>
      <c r="P753" s="23"/>
      <c r="Q753" s="78"/>
      <c r="R753" s="78"/>
      <c r="S753" s="78"/>
      <c r="T753" s="78"/>
      <c r="U753" s="78"/>
      <c r="V753" s="79"/>
    </row>
    <row r="754">
      <c r="A754" s="13"/>
      <c r="B754" s="13"/>
      <c r="C754" s="70"/>
      <c r="D754" s="70"/>
      <c r="E754" s="70"/>
      <c r="F754" s="70"/>
      <c r="O754" s="94"/>
      <c r="P754" s="23"/>
      <c r="Q754" s="78"/>
      <c r="R754" s="78"/>
      <c r="S754" s="78"/>
      <c r="T754" s="78"/>
      <c r="U754" s="78"/>
      <c r="V754" s="79"/>
    </row>
    <row r="755">
      <c r="A755" s="13"/>
      <c r="B755" s="13"/>
      <c r="C755" s="70"/>
      <c r="D755" s="70"/>
      <c r="E755" s="70"/>
      <c r="F755" s="70"/>
      <c r="O755" s="94"/>
      <c r="P755" s="23"/>
      <c r="Q755" s="78"/>
      <c r="R755" s="78"/>
      <c r="S755" s="78"/>
      <c r="T755" s="78"/>
      <c r="U755" s="78"/>
      <c r="V755" s="79"/>
    </row>
    <row r="756">
      <c r="A756" s="13"/>
      <c r="B756" s="13"/>
      <c r="C756" s="70"/>
      <c r="D756" s="70"/>
      <c r="E756" s="70"/>
      <c r="F756" s="70"/>
      <c r="O756" s="94"/>
      <c r="P756" s="23"/>
      <c r="Q756" s="78"/>
      <c r="R756" s="78"/>
      <c r="S756" s="78"/>
      <c r="T756" s="78"/>
      <c r="U756" s="78"/>
      <c r="V756" s="79"/>
    </row>
    <row r="757">
      <c r="A757" s="13"/>
      <c r="B757" s="13"/>
      <c r="C757" s="70"/>
      <c r="D757" s="70"/>
      <c r="E757" s="70"/>
      <c r="F757" s="70"/>
      <c r="O757" s="94"/>
      <c r="P757" s="23"/>
      <c r="Q757" s="78"/>
      <c r="R757" s="78"/>
      <c r="S757" s="78"/>
      <c r="T757" s="78"/>
      <c r="U757" s="78"/>
      <c r="V757" s="79"/>
    </row>
    <row r="758">
      <c r="A758" s="13"/>
      <c r="B758" s="13"/>
      <c r="C758" s="70"/>
      <c r="D758" s="70"/>
      <c r="E758" s="70"/>
      <c r="F758" s="70"/>
      <c r="O758" s="94"/>
      <c r="P758" s="23"/>
      <c r="Q758" s="78"/>
      <c r="R758" s="78"/>
      <c r="S758" s="78"/>
      <c r="T758" s="78"/>
      <c r="U758" s="78"/>
      <c r="V758" s="79"/>
    </row>
    <row r="759">
      <c r="A759" s="13"/>
      <c r="B759" s="13"/>
      <c r="C759" s="70"/>
      <c r="D759" s="70"/>
      <c r="E759" s="70"/>
      <c r="F759" s="70"/>
      <c r="O759" s="94"/>
      <c r="P759" s="23"/>
      <c r="Q759" s="78"/>
      <c r="R759" s="78"/>
      <c r="S759" s="78"/>
      <c r="T759" s="78"/>
      <c r="U759" s="78"/>
      <c r="V759" s="79"/>
    </row>
    <row r="760">
      <c r="A760" s="13"/>
      <c r="B760" s="13"/>
      <c r="C760" s="70"/>
      <c r="D760" s="70"/>
      <c r="E760" s="70"/>
      <c r="F760" s="70"/>
      <c r="O760" s="94"/>
      <c r="P760" s="23"/>
      <c r="Q760" s="78"/>
      <c r="R760" s="78"/>
      <c r="S760" s="78"/>
      <c r="T760" s="78"/>
      <c r="U760" s="78"/>
      <c r="V760" s="79"/>
    </row>
    <row r="761">
      <c r="A761" s="13"/>
      <c r="B761" s="13"/>
      <c r="C761" s="70"/>
      <c r="D761" s="70"/>
      <c r="E761" s="70"/>
      <c r="F761" s="70"/>
      <c r="O761" s="94"/>
      <c r="P761" s="23"/>
      <c r="Q761" s="78"/>
      <c r="R761" s="78"/>
      <c r="S761" s="78"/>
      <c r="T761" s="78"/>
      <c r="U761" s="78"/>
      <c r="V761" s="79"/>
    </row>
    <row r="762">
      <c r="A762" s="13"/>
      <c r="B762" s="13"/>
      <c r="C762" s="70"/>
      <c r="D762" s="70"/>
      <c r="E762" s="70"/>
      <c r="F762" s="70"/>
      <c r="O762" s="94"/>
      <c r="P762" s="23"/>
      <c r="Q762" s="78"/>
      <c r="R762" s="78"/>
      <c r="S762" s="78"/>
      <c r="T762" s="78"/>
      <c r="U762" s="78"/>
      <c r="V762" s="79"/>
    </row>
    <row r="763">
      <c r="A763" s="13"/>
      <c r="B763" s="13"/>
      <c r="C763" s="70"/>
      <c r="D763" s="70"/>
      <c r="E763" s="70"/>
      <c r="F763" s="70"/>
      <c r="O763" s="94"/>
      <c r="P763" s="23"/>
      <c r="Q763" s="78"/>
      <c r="R763" s="78"/>
      <c r="S763" s="78"/>
      <c r="T763" s="78"/>
      <c r="U763" s="78"/>
      <c r="V763" s="79"/>
    </row>
    <row r="764">
      <c r="A764" s="13"/>
      <c r="B764" s="13"/>
      <c r="C764" s="70"/>
      <c r="D764" s="70"/>
      <c r="E764" s="70"/>
      <c r="F764" s="70"/>
      <c r="O764" s="94"/>
      <c r="P764" s="23"/>
      <c r="Q764" s="78"/>
      <c r="R764" s="78"/>
      <c r="S764" s="78"/>
      <c r="T764" s="78"/>
      <c r="U764" s="78"/>
      <c r="V764" s="79"/>
    </row>
    <row r="765">
      <c r="A765" s="13"/>
      <c r="B765" s="13"/>
      <c r="C765" s="70"/>
      <c r="D765" s="70"/>
      <c r="E765" s="70"/>
      <c r="F765" s="70"/>
      <c r="O765" s="94"/>
      <c r="P765" s="23"/>
      <c r="Q765" s="78"/>
      <c r="R765" s="78"/>
      <c r="S765" s="78"/>
      <c r="T765" s="78"/>
      <c r="U765" s="78"/>
      <c r="V765" s="79"/>
    </row>
    <row r="766">
      <c r="A766" s="13"/>
      <c r="B766" s="13"/>
      <c r="C766" s="70"/>
      <c r="D766" s="70"/>
      <c r="E766" s="70"/>
      <c r="F766" s="70"/>
      <c r="O766" s="94"/>
      <c r="P766" s="23"/>
      <c r="Q766" s="78"/>
      <c r="R766" s="78"/>
      <c r="S766" s="78"/>
      <c r="T766" s="78"/>
      <c r="U766" s="78"/>
      <c r="V766" s="79"/>
    </row>
    <row r="767">
      <c r="A767" s="13"/>
      <c r="B767" s="13"/>
      <c r="C767" s="70"/>
      <c r="D767" s="70"/>
      <c r="E767" s="70"/>
      <c r="F767" s="70"/>
      <c r="O767" s="94"/>
      <c r="P767" s="23"/>
      <c r="Q767" s="78"/>
      <c r="R767" s="78"/>
      <c r="S767" s="78"/>
      <c r="T767" s="78"/>
      <c r="U767" s="78"/>
      <c r="V767" s="79"/>
    </row>
    <row r="768">
      <c r="A768" s="13"/>
      <c r="B768" s="13"/>
      <c r="C768" s="70"/>
      <c r="D768" s="70"/>
      <c r="E768" s="70"/>
      <c r="F768" s="70"/>
      <c r="O768" s="94"/>
      <c r="P768" s="23"/>
      <c r="Q768" s="78"/>
      <c r="R768" s="78"/>
      <c r="S768" s="78"/>
      <c r="T768" s="78"/>
      <c r="U768" s="78"/>
      <c r="V768" s="79"/>
    </row>
    <row r="769">
      <c r="A769" s="13"/>
      <c r="B769" s="13"/>
      <c r="C769" s="70"/>
      <c r="D769" s="70"/>
      <c r="E769" s="70"/>
      <c r="F769" s="70"/>
      <c r="O769" s="94"/>
      <c r="P769" s="23"/>
      <c r="Q769" s="78"/>
      <c r="R769" s="78"/>
      <c r="S769" s="78"/>
      <c r="T769" s="78"/>
      <c r="U769" s="78"/>
      <c r="V769" s="79"/>
    </row>
    <row r="770">
      <c r="A770" s="13"/>
      <c r="B770" s="13"/>
      <c r="C770" s="70"/>
      <c r="D770" s="70"/>
      <c r="E770" s="70"/>
      <c r="F770" s="70"/>
      <c r="O770" s="94"/>
      <c r="P770" s="23"/>
      <c r="Q770" s="78"/>
      <c r="R770" s="78"/>
      <c r="S770" s="78"/>
      <c r="T770" s="78"/>
      <c r="U770" s="78"/>
      <c r="V770" s="79"/>
    </row>
    <row r="771">
      <c r="A771" s="13"/>
      <c r="B771" s="13"/>
      <c r="C771" s="70"/>
      <c r="D771" s="70"/>
      <c r="E771" s="70"/>
      <c r="F771" s="70"/>
      <c r="O771" s="94"/>
      <c r="P771" s="23"/>
      <c r="Q771" s="78"/>
      <c r="R771" s="78"/>
      <c r="S771" s="78"/>
      <c r="T771" s="78"/>
      <c r="U771" s="78"/>
      <c r="V771" s="79"/>
    </row>
    <row r="772">
      <c r="A772" s="13"/>
      <c r="B772" s="13"/>
      <c r="C772" s="70"/>
      <c r="D772" s="70"/>
      <c r="E772" s="70"/>
      <c r="F772" s="70"/>
      <c r="O772" s="94"/>
      <c r="P772" s="23"/>
      <c r="Q772" s="78"/>
      <c r="R772" s="78"/>
      <c r="S772" s="78"/>
      <c r="T772" s="78"/>
      <c r="U772" s="78"/>
      <c r="V772" s="79"/>
    </row>
    <row r="773">
      <c r="A773" s="13"/>
      <c r="B773" s="13"/>
      <c r="C773" s="70"/>
      <c r="D773" s="70"/>
      <c r="E773" s="70"/>
      <c r="F773" s="70"/>
      <c r="O773" s="94"/>
      <c r="P773" s="23"/>
      <c r="Q773" s="78"/>
      <c r="R773" s="78"/>
      <c r="S773" s="78"/>
      <c r="T773" s="78"/>
      <c r="U773" s="78"/>
      <c r="V773" s="79"/>
    </row>
    <row r="774">
      <c r="A774" s="13"/>
      <c r="B774" s="13"/>
      <c r="C774" s="70"/>
      <c r="D774" s="70"/>
      <c r="E774" s="70"/>
      <c r="F774" s="70"/>
      <c r="O774" s="94"/>
      <c r="P774" s="23"/>
      <c r="Q774" s="78"/>
      <c r="R774" s="78"/>
      <c r="S774" s="78"/>
      <c r="T774" s="78"/>
      <c r="U774" s="78"/>
      <c r="V774" s="79"/>
    </row>
    <row r="775">
      <c r="A775" s="13"/>
      <c r="B775" s="13"/>
      <c r="C775" s="70"/>
      <c r="D775" s="70"/>
      <c r="E775" s="70"/>
      <c r="F775" s="70"/>
      <c r="O775" s="94"/>
      <c r="P775" s="23"/>
      <c r="Q775" s="78"/>
      <c r="R775" s="78"/>
      <c r="S775" s="78"/>
      <c r="T775" s="78"/>
      <c r="U775" s="78"/>
      <c r="V775" s="79"/>
    </row>
    <row r="776">
      <c r="A776" s="13"/>
      <c r="B776" s="13"/>
      <c r="C776" s="70"/>
      <c r="D776" s="70"/>
      <c r="E776" s="70"/>
      <c r="F776" s="70"/>
      <c r="O776" s="94"/>
      <c r="P776" s="23"/>
      <c r="Q776" s="78"/>
      <c r="R776" s="78"/>
      <c r="S776" s="78"/>
      <c r="T776" s="78"/>
      <c r="U776" s="78"/>
      <c r="V776" s="79"/>
    </row>
    <row r="777">
      <c r="A777" s="13"/>
      <c r="B777" s="13"/>
      <c r="C777" s="70"/>
      <c r="D777" s="70"/>
      <c r="E777" s="70"/>
      <c r="F777" s="70"/>
      <c r="O777" s="94"/>
      <c r="P777" s="23"/>
      <c r="Q777" s="78"/>
      <c r="R777" s="78"/>
      <c r="S777" s="78"/>
      <c r="T777" s="78"/>
      <c r="U777" s="78"/>
      <c r="V777" s="79"/>
    </row>
    <row r="778">
      <c r="A778" s="13"/>
      <c r="B778" s="13"/>
      <c r="C778" s="70"/>
      <c r="D778" s="70"/>
      <c r="E778" s="70"/>
      <c r="F778" s="70"/>
      <c r="O778" s="94"/>
      <c r="P778" s="23"/>
      <c r="Q778" s="78"/>
      <c r="R778" s="78"/>
      <c r="S778" s="78"/>
      <c r="T778" s="78"/>
      <c r="U778" s="78"/>
      <c r="V778" s="79"/>
    </row>
    <row r="779">
      <c r="A779" s="13"/>
      <c r="B779" s="13"/>
      <c r="C779" s="70"/>
      <c r="D779" s="70"/>
      <c r="E779" s="70"/>
      <c r="F779" s="70"/>
      <c r="O779" s="94"/>
      <c r="P779" s="23"/>
      <c r="Q779" s="78"/>
      <c r="R779" s="78"/>
      <c r="S779" s="78"/>
      <c r="T779" s="78"/>
      <c r="U779" s="78"/>
      <c r="V779" s="79"/>
    </row>
    <row r="780">
      <c r="A780" s="13"/>
      <c r="B780" s="13"/>
      <c r="C780" s="70"/>
      <c r="D780" s="70"/>
      <c r="E780" s="70"/>
      <c r="F780" s="70"/>
      <c r="O780" s="94"/>
      <c r="P780" s="23"/>
      <c r="Q780" s="78"/>
      <c r="R780" s="78"/>
      <c r="S780" s="78"/>
      <c r="T780" s="78"/>
      <c r="U780" s="78"/>
      <c r="V780" s="79"/>
    </row>
    <row r="781">
      <c r="A781" s="13"/>
      <c r="B781" s="13"/>
      <c r="C781" s="70"/>
      <c r="D781" s="70"/>
      <c r="E781" s="70"/>
      <c r="F781" s="70"/>
      <c r="O781" s="94"/>
      <c r="P781" s="23"/>
      <c r="Q781" s="78"/>
      <c r="R781" s="78"/>
      <c r="S781" s="78"/>
      <c r="T781" s="78"/>
      <c r="U781" s="78"/>
      <c r="V781" s="79"/>
    </row>
    <row r="782">
      <c r="A782" s="13"/>
      <c r="B782" s="13"/>
      <c r="C782" s="70"/>
      <c r="D782" s="70"/>
      <c r="E782" s="70"/>
      <c r="F782" s="70"/>
      <c r="O782" s="94"/>
      <c r="P782" s="23"/>
      <c r="Q782" s="78"/>
      <c r="R782" s="78"/>
      <c r="S782" s="78"/>
      <c r="T782" s="78"/>
      <c r="U782" s="78"/>
      <c r="V782" s="79"/>
    </row>
    <row r="783">
      <c r="A783" s="13"/>
      <c r="B783" s="13"/>
      <c r="C783" s="70"/>
      <c r="D783" s="70"/>
      <c r="E783" s="70"/>
      <c r="F783" s="70"/>
      <c r="O783" s="94"/>
      <c r="P783" s="23"/>
      <c r="Q783" s="78"/>
      <c r="R783" s="78"/>
      <c r="S783" s="78"/>
      <c r="T783" s="78"/>
      <c r="U783" s="78"/>
      <c r="V783" s="79"/>
    </row>
    <row r="784">
      <c r="A784" s="13"/>
      <c r="B784" s="13"/>
      <c r="C784" s="70"/>
      <c r="D784" s="70"/>
      <c r="E784" s="70"/>
      <c r="F784" s="70"/>
      <c r="O784" s="94"/>
      <c r="P784" s="23"/>
      <c r="Q784" s="78"/>
      <c r="R784" s="78"/>
      <c r="S784" s="78"/>
      <c r="T784" s="78"/>
      <c r="U784" s="78"/>
      <c r="V784" s="79"/>
    </row>
    <row r="785">
      <c r="A785" s="13"/>
      <c r="B785" s="13"/>
      <c r="C785" s="70"/>
      <c r="D785" s="70"/>
      <c r="E785" s="70"/>
      <c r="F785" s="70"/>
      <c r="O785" s="94"/>
      <c r="P785" s="23"/>
      <c r="Q785" s="78"/>
      <c r="R785" s="78"/>
      <c r="S785" s="78"/>
      <c r="T785" s="78"/>
      <c r="U785" s="78"/>
      <c r="V785" s="79"/>
    </row>
    <row r="786">
      <c r="A786" s="13"/>
      <c r="B786" s="13"/>
      <c r="C786" s="70"/>
      <c r="D786" s="70"/>
      <c r="E786" s="70"/>
      <c r="F786" s="70"/>
      <c r="O786" s="94"/>
      <c r="P786" s="23"/>
      <c r="Q786" s="78"/>
      <c r="R786" s="78"/>
      <c r="S786" s="78"/>
      <c r="T786" s="78"/>
      <c r="U786" s="78"/>
      <c r="V786" s="79"/>
    </row>
    <row r="787">
      <c r="A787" s="13"/>
      <c r="B787" s="13"/>
      <c r="C787" s="70"/>
      <c r="D787" s="70"/>
      <c r="E787" s="70"/>
      <c r="F787" s="70"/>
      <c r="O787" s="94"/>
      <c r="P787" s="23"/>
      <c r="Q787" s="78"/>
      <c r="R787" s="78"/>
      <c r="S787" s="78"/>
      <c r="T787" s="78"/>
      <c r="U787" s="78"/>
      <c r="V787" s="79"/>
    </row>
    <row r="788">
      <c r="A788" s="13"/>
      <c r="B788" s="13"/>
      <c r="C788" s="70"/>
      <c r="D788" s="70"/>
      <c r="E788" s="70"/>
      <c r="F788" s="70"/>
      <c r="O788" s="94"/>
      <c r="P788" s="23"/>
      <c r="Q788" s="78"/>
      <c r="R788" s="78"/>
      <c r="S788" s="78"/>
      <c r="T788" s="78"/>
      <c r="U788" s="78"/>
      <c r="V788" s="79"/>
    </row>
    <row r="789">
      <c r="A789" s="13"/>
      <c r="B789" s="13"/>
      <c r="C789" s="70"/>
      <c r="D789" s="70"/>
      <c r="E789" s="70"/>
      <c r="F789" s="70"/>
      <c r="O789" s="94"/>
      <c r="P789" s="23"/>
      <c r="Q789" s="78"/>
      <c r="R789" s="78"/>
      <c r="S789" s="78"/>
      <c r="T789" s="78"/>
      <c r="U789" s="78"/>
      <c r="V789" s="79"/>
    </row>
    <row r="790">
      <c r="A790" s="13"/>
      <c r="B790" s="13"/>
      <c r="C790" s="70"/>
      <c r="D790" s="70"/>
      <c r="E790" s="70"/>
      <c r="F790" s="70"/>
      <c r="O790" s="94"/>
      <c r="P790" s="23"/>
      <c r="Q790" s="78"/>
      <c r="R790" s="78"/>
      <c r="S790" s="78"/>
      <c r="T790" s="78"/>
      <c r="U790" s="78"/>
      <c r="V790" s="79"/>
    </row>
    <row r="791">
      <c r="A791" s="13"/>
      <c r="B791" s="13"/>
      <c r="C791" s="70"/>
      <c r="D791" s="70"/>
      <c r="E791" s="70"/>
      <c r="F791" s="70"/>
      <c r="O791" s="94"/>
      <c r="P791" s="23"/>
      <c r="Q791" s="78"/>
      <c r="R791" s="78"/>
      <c r="S791" s="78"/>
      <c r="T791" s="78"/>
      <c r="U791" s="78"/>
      <c r="V791" s="79"/>
    </row>
    <row r="792">
      <c r="A792" s="13"/>
      <c r="B792" s="13"/>
      <c r="C792" s="70"/>
      <c r="D792" s="70"/>
      <c r="E792" s="70"/>
      <c r="F792" s="70"/>
      <c r="O792" s="94"/>
      <c r="P792" s="23"/>
      <c r="Q792" s="78"/>
      <c r="R792" s="78"/>
      <c r="S792" s="78"/>
      <c r="T792" s="78"/>
      <c r="U792" s="78"/>
      <c r="V792" s="79"/>
    </row>
    <row r="793">
      <c r="A793" s="13"/>
      <c r="B793" s="13"/>
      <c r="C793" s="70"/>
      <c r="D793" s="70"/>
      <c r="E793" s="70"/>
      <c r="F793" s="70"/>
      <c r="O793" s="94"/>
      <c r="P793" s="23"/>
      <c r="Q793" s="78"/>
      <c r="R793" s="78"/>
      <c r="S793" s="78"/>
      <c r="T793" s="78"/>
      <c r="U793" s="78"/>
      <c r="V793" s="79"/>
    </row>
    <row r="794">
      <c r="A794" s="13"/>
      <c r="B794" s="13"/>
      <c r="C794" s="70"/>
      <c r="D794" s="70"/>
      <c r="E794" s="70"/>
      <c r="F794" s="70"/>
      <c r="O794" s="94"/>
      <c r="P794" s="23"/>
      <c r="Q794" s="78"/>
      <c r="R794" s="78"/>
      <c r="S794" s="78"/>
      <c r="T794" s="78"/>
      <c r="U794" s="78"/>
      <c r="V794" s="79"/>
    </row>
    <row r="795">
      <c r="A795" s="13"/>
      <c r="B795" s="13"/>
      <c r="C795" s="70"/>
      <c r="D795" s="70"/>
      <c r="E795" s="70"/>
      <c r="F795" s="70"/>
      <c r="O795" s="94"/>
      <c r="P795" s="23"/>
      <c r="Q795" s="78"/>
      <c r="R795" s="78"/>
      <c r="S795" s="78"/>
      <c r="T795" s="78"/>
      <c r="U795" s="78"/>
      <c r="V795" s="79"/>
    </row>
    <row r="796">
      <c r="A796" s="13"/>
      <c r="B796" s="13"/>
      <c r="C796" s="70"/>
      <c r="D796" s="70"/>
      <c r="E796" s="70"/>
      <c r="F796" s="70"/>
      <c r="O796" s="94"/>
      <c r="P796" s="23"/>
      <c r="Q796" s="78"/>
      <c r="R796" s="78"/>
      <c r="S796" s="78"/>
      <c r="T796" s="78"/>
      <c r="U796" s="78"/>
      <c r="V796" s="79"/>
    </row>
    <row r="797">
      <c r="A797" s="13"/>
      <c r="B797" s="13"/>
      <c r="C797" s="70"/>
      <c r="D797" s="70"/>
      <c r="E797" s="70"/>
      <c r="F797" s="70"/>
      <c r="O797" s="94"/>
      <c r="P797" s="23"/>
      <c r="Q797" s="78"/>
      <c r="R797" s="78"/>
      <c r="S797" s="78"/>
      <c r="T797" s="78"/>
      <c r="U797" s="78"/>
      <c r="V797" s="79"/>
    </row>
    <row r="798">
      <c r="A798" s="13"/>
      <c r="B798" s="13"/>
      <c r="C798" s="70"/>
      <c r="D798" s="70"/>
      <c r="E798" s="70"/>
      <c r="F798" s="70"/>
      <c r="O798" s="94"/>
      <c r="P798" s="23"/>
      <c r="Q798" s="78"/>
      <c r="R798" s="78"/>
      <c r="S798" s="78"/>
      <c r="T798" s="78"/>
      <c r="U798" s="78"/>
      <c r="V798" s="79"/>
    </row>
    <row r="799">
      <c r="A799" s="13"/>
      <c r="B799" s="13"/>
      <c r="C799" s="70"/>
      <c r="D799" s="70"/>
      <c r="E799" s="70"/>
      <c r="F799" s="70"/>
      <c r="O799" s="94"/>
      <c r="P799" s="23"/>
      <c r="Q799" s="78"/>
      <c r="R799" s="78"/>
      <c r="S799" s="78"/>
      <c r="T799" s="78"/>
      <c r="U799" s="78"/>
      <c r="V799" s="79"/>
    </row>
    <row r="800">
      <c r="A800" s="13"/>
      <c r="B800" s="13"/>
      <c r="C800" s="70"/>
      <c r="D800" s="70"/>
      <c r="E800" s="70"/>
      <c r="F800" s="70"/>
      <c r="O800" s="94"/>
      <c r="P800" s="23"/>
      <c r="Q800" s="78"/>
      <c r="R800" s="78"/>
      <c r="S800" s="78"/>
      <c r="T800" s="78"/>
      <c r="U800" s="78"/>
      <c r="V800" s="79"/>
    </row>
    <row r="801">
      <c r="A801" s="13"/>
      <c r="B801" s="13"/>
      <c r="C801" s="70"/>
      <c r="D801" s="70"/>
      <c r="E801" s="70"/>
      <c r="F801" s="70"/>
      <c r="O801" s="94"/>
      <c r="P801" s="23"/>
      <c r="Q801" s="78"/>
      <c r="R801" s="78"/>
      <c r="S801" s="78"/>
      <c r="T801" s="78"/>
      <c r="U801" s="78"/>
      <c r="V801" s="79"/>
    </row>
    <row r="802">
      <c r="A802" s="13"/>
      <c r="B802" s="13"/>
      <c r="C802" s="70"/>
      <c r="D802" s="70"/>
      <c r="E802" s="70"/>
      <c r="F802" s="70"/>
      <c r="O802" s="94"/>
      <c r="P802" s="23"/>
      <c r="Q802" s="78"/>
      <c r="R802" s="78"/>
      <c r="S802" s="78"/>
      <c r="T802" s="78"/>
      <c r="U802" s="78"/>
      <c r="V802" s="79"/>
    </row>
    <row r="803">
      <c r="A803" s="13"/>
      <c r="B803" s="13"/>
      <c r="C803" s="70"/>
      <c r="D803" s="70"/>
      <c r="E803" s="70"/>
      <c r="F803" s="70"/>
      <c r="O803" s="94"/>
      <c r="P803" s="23"/>
      <c r="Q803" s="78"/>
      <c r="R803" s="78"/>
      <c r="S803" s="78"/>
      <c r="T803" s="78"/>
      <c r="U803" s="78"/>
      <c r="V803" s="79"/>
    </row>
    <row r="804">
      <c r="A804" s="13"/>
      <c r="B804" s="13"/>
      <c r="C804" s="70"/>
      <c r="D804" s="70"/>
      <c r="E804" s="70"/>
      <c r="F804" s="70"/>
      <c r="O804" s="94"/>
      <c r="P804" s="23"/>
      <c r="Q804" s="78"/>
      <c r="R804" s="78"/>
      <c r="S804" s="78"/>
      <c r="T804" s="78"/>
      <c r="U804" s="78"/>
      <c r="V804" s="79"/>
    </row>
    <row r="805">
      <c r="A805" s="13"/>
      <c r="B805" s="13"/>
      <c r="C805" s="70"/>
      <c r="D805" s="70"/>
      <c r="E805" s="70"/>
      <c r="F805" s="70"/>
      <c r="O805" s="94"/>
      <c r="P805" s="23"/>
      <c r="Q805" s="78"/>
      <c r="R805" s="78"/>
      <c r="S805" s="78"/>
      <c r="T805" s="78"/>
      <c r="U805" s="78"/>
      <c r="V805" s="79"/>
    </row>
    <row r="806">
      <c r="A806" s="13"/>
      <c r="B806" s="13"/>
      <c r="C806" s="70"/>
      <c r="D806" s="70"/>
      <c r="E806" s="70"/>
      <c r="F806" s="70"/>
      <c r="O806" s="94"/>
      <c r="P806" s="23"/>
      <c r="Q806" s="78"/>
      <c r="R806" s="78"/>
      <c r="S806" s="78"/>
      <c r="T806" s="78"/>
      <c r="U806" s="78"/>
      <c r="V806" s="79"/>
    </row>
    <row r="807">
      <c r="A807" s="13"/>
      <c r="B807" s="13"/>
      <c r="C807" s="70"/>
      <c r="D807" s="70"/>
      <c r="E807" s="70"/>
      <c r="F807" s="70"/>
      <c r="O807" s="94"/>
      <c r="P807" s="23"/>
      <c r="Q807" s="78"/>
      <c r="R807" s="78"/>
      <c r="S807" s="78"/>
      <c r="T807" s="78"/>
      <c r="U807" s="78"/>
      <c r="V807" s="79"/>
    </row>
    <row r="808">
      <c r="A808" s="13"/>
      <c r="B808" s="13"/>
      <c r="C808" s="70"/>
      <c r="D808" s="70"/>
      <c r="E808" s="70"/>
      <c r="F808" s="70"/>
      <c r="O808" s="94"/>
      <c r="P808" s="23"/>
      <c r="Q808" s="78"/>
      <c r="R808" s="78"/>
      <c r="S808" s="78"/>
      <c r="T808" s="78"/>
      <c r="U808" s="78"/>
      <c r="V808" s="79"/>
    </row>
    <row r="809">
      <c r="A809" s="13"/>
      <c r="B809" s="13"/>
      <c r="C809" s="70"/>
      <c r="D809" s="70"/>
      <c r="E809" s="70"/>
      <c r="F809" s="70"/>
      <c r="O809" s="94"/>
      <c r="P809" s="23"/>
      <c r="Q809" s="78"/>
      <c r="R809" s="78"/>
      <c r="S809" s="78"/>
      <c r="T809" s="78"/>
      <c r="U809" s="78"/>
      <c r="V809" s="79"/>
    </row>
    <row r="810">
      <c r="A810" s="13"/>
      <c r="B810" s="13"/>
      <c r="C810" s="70"/>
      <c r="D810" s="70"/>
      <c r="E810" s="70"/>
      <c r="F810" s="70"/>
      <c r="O810" s="94"/>
      <c r="P810" s="23"/>
      <c r="Q810" s="78"/>
      <c r="R810" s="78"/>
      <c r="S810" s="78"/>
      <c r="T810" s="78"/>
      <c r="U810" s="78"/>
      <c r="V810" s="79"/>
    </row>
    <row r="811">
      <c r="A811" s="13"/>
      <c r="B811" s="13"/>
      <c r="C811" s="70"/>
      <c r="D811" s="70"/>
      <c r="E811" s="70"/>
      <c r="F811" s="70"/>
      <c r="O811" s="94"/>
      <c r="P811" s="23"/>
      <c r="Q811" s="78"/>
      <c r="R811" s="78"/>
      <c r="S811" s="78"/>
      <c r="T811" s="78"/>
      <c r="U811" s="78"/>
      <c r="V811" s="79"/>
    </row>
    <row r="812">
      <c r="A812" s="13"/>
      <c r="B812" s="13"/>
      <c r="C812" s="70"/>
      <c r="D812" s="70"/>
      <c r="E812" s="70"/>
      <c r="F812" s="70"/>
      <c r="O812" s="94"/>
      <c r="P812" s="23"/>
      <c r="Q812" s="78"/>
      <c r="R812" s="78"/>
      <c r="S812" s="78"/>
      <c r="T812" s="78"/>
      <c r="U812" s="78"/>
      <c r="V812" s="79"/>
    </row>
    <row r="813">
      <c r="A813" s="13"/>
      <c r="B813" s="13"/>
      <c r="C813" s="70"/>
      <c r="D813" s="70"/>
      <c r="E813" s="70"/>
      <c r="F813" s="70"/>
      <c r="O813" s="94"/>
      <c r="P813" s="23"/>
      <c r="Q813" s="78"/>
      <c r="R813" s="78"/>
      <c r="S813" s="78"/>
      <c r="T813" s="78"/>
      <c r="U813" s="78"/>
      <c r="V813" s="79"/>
    </row>
    <row r="814">
      <c r="A814" s="13"/>
      <c r="B814" s="13"/>
      <c r="C814" s="70"/>
      <c r="D814" s="70"/>
      <c r="E814" s="70"/>
      <c r="F814" s="70"/>
      <c r="O814" s="94"/>
      <c r="P814" s="23"/>
      <c r="Q814" s="78"/>
      <c r="R814" s="78"/>
      <c r="S814" s="78"/>
      <c r="T814" s="78"/>
      <c r="U814" s="78"/>
      <c r="V814" s="79"/>
    </row>
    <row r="815">
      <c r="A815" s="13"/>
      <c r="B815" s="13"/>
      <c r="C815" s="70"/>
      <c r="D815" s="70"/>
      <c r="E815" s="70"/>
      <c r="F815" s="70"/>
      <c r="O815" s="94"/>
      <c r="P815" s="23"/>
      <c r="Q815" s="78"/>
      <c r="R815" s="78"/>
      <c r="S815" s="78"/>
      <c r="T815" s="78"/>
      <c r="U815" s="78"/>
      <c r="V815" s="79"/>
    </row>
    <row r="816">
      <c r="A816" s="13"/>
      <c r="B816" s="13"/>
      <c r="C816" s="70"/>
      <c r="D816" s="70"/>
      <c r="E816" s="70"/>
      <c r="F816" s="70"/>
      <c r="O816" s="94"/>
      <c r="P816" s="23"/>
      <c r="Q816" s="78"/>
      <c r="R816" s="78"/>
      <c r="S816" s="78"/>
      <c r="T816" s="78"/>
      <c r="U816" s="78"/>
      <c r="V816" s="79"/>
    </row>
    <row r="817">
      <c r="A817" s="13"/>
      <c r="B817" s="13"/>
      <c r="C817" s="70"/>
      <c r="D817" s="70"/>
      <c r="E817" s="70"/>
      <c r="F817" s="70"/>
      <c r="O817" s="94"/>
      <c r="P817" s="23"/>
      <c r="Q817" s="78"/>
      <c r="R817" s="78"/>
      <c r="S817" s="78"/>
      <c r="T817" s="78"/>
      <c r="U817" s="78"/>
      <c r="V817" s="79"/>
    </row>
    <row r="818">
      <c r="A818" s="13"/>
      <c r="B818" s="13"/>
      <c r="C818" s="70"/>
      <c r="D818" s="70"/>
      <c r="E818" s="70"/>
      <c r="F818" s="70"/>
      <c r="O818" s="94"/>
      <c r="P818" s="23"/>
      <c r="Q818" s="78"/>
      <c r="R818" s="78"/>
      <c r="S818" s="78"/>
      <c r="T818" s="78"/>
      <c r="U818" s="78"/>
      <c r="V818" s="79"/>
    </row>
    <row r="819">
      <c r="A819" s="13"/>
      <c r="B819" s="13"/>
      <c r="C819" s="70"/>
      <c r="D819" s="70"/>
      <c r="E819" s="70"/>
      <c r="F819" s="70"/>
      <c r="O819" s="94"/>
      <c r="P819" s="23"/>
      <c r="Q819" s="78"/>
      <c r="R819" s="78"/>
      <c r="S819" s="78"/>
      <c r="T819" s="78"/>
      <c r="U819" s="78"/>
      <c r="V819" s="79"/>
    </row>
    <row r="820">
      <c r="A820" s="13"/>
      <c r="B820" s="13"/>
      <c r="C820" s="70"/>
      <c r="D820" s="70"/>
      <c r="E820" s="70"/>
      <c r="F820" s="70"/>
      <c r="O820" s="94"/>
      <c r="P820" s="23"/>
      <c r="Q820" s="78"/>
      <c r="R820" s="78"/>
      <c r="S820" s="78"/>
      <c r="T820" s="78"/>
      <c r="U820" s="78"/>
      <c r="V820" s="79"/>
    </row>
    <row r="821">
      <c r="A821" s="13"/>
      <c r="B821" s="13"/>
      <c r="C821" s="70"/>
      <c r="D821" s="70"/>
      <c r="E821" s="70"/>
      <c r="F821" s="70"/>
      <c r="O821" s="94"/>
      <c r="P821" s="23"/>
      <c r="Q821" s="78"/>
      <c r="R821" s="78"/>
      <c r="S821" s="78"/>
      <c r="T821" s="78"/>
      <c r="U821" s="78"/>
      <c r="V821" s="79"/>
    </row>
    <row r="822">
      <c r="A822" s="13"/>
      <c r="B822" s="13"/>
      <c r="C822" s="70"/>
      <c r="D822" s="70"/>
      <c r="E822" s="70"/>
      <c r="F822" s="70"/>
      <c r="O822" s="94"/>
      <c r="P822" s="23"/>
      <c r="Q822" s="78"/>
      <c r="R822" s="78"/>
      <c r="S822" s="78"/>
      <c r="T822" s="78"/>
      <c r="U822" s="78"/>
      <c r="V822" s="79"/>
    </row>
    <row r="823">
      <c r="A823" s="13"/>
      <c r="B823" s="13"/>
      <c r="C823" s="70"/>
      <c r="D823" s="70"/>
      <c r="E823" s="70"/>
      <c r="F823" s="70"/>
      <c r="O823" s="94"/>
      <c r="P823" s="23"/>
      <c r="Q823" s="78"/>
      <c r="R823" s="78"/>
      <c r="S823" s="78"/>
      <c r="T823" s="78"/>
      <c r="U823" s="78"/>
      <c r="V823" s="79"/>
    </row>
    <row r="824">
      <c r="A824" s="13"/>
      <c r="B824" s="13"/>
      <c r="C824" s="70"/>
      <c r="D824" s="70"/>
      <c r="E824" s="70"/>
      <c r="F824" s="70"/>
      <c r="O824" s="94"/>
      <c r="P824" s="23"/>
      <c r="Q824" s="78"/>
      <c r="R824" s="78"/>
      <c r="S824" s="78"/>
      <c r="T824" s="78"/>
      <c r="U824" s="78"/>
      <c r="V824" s="79"/>
    </row>
    <row r="825">
      <c r="A825" s="13"/>
      <c r="B825" s="13"/>
      <c r="C825" s="70"/>
      <c r="D825" s="70"/>
      <c r="E825" s="70"/>
      <c r="F825" s="70"/>
      <c r="O825" s="94"/>
      <c r="P825" s="23"/>
      <c r="Q825" s="78"/>
      <c r="R825" s="78"/>
      <c r="S825" s="78"/>
      <c r="T825" s="78"/>
      <c r="U825" s="78"/>
      <c r="V825" s="79"/>
    </row>
    <row r="826">
      <c r="A826" s="13"/>
      <c r="B826" s="13"/>
      <c r="C826" s="70"/>
      <c r="D826" s="70"/>
      <c r="E826" s="70"/>
      <c r="F826" s="70"/>
      <c r="O826" s="94"/>
      <c r="P826" s="23"/>
      <c r="Q826" s="78"/>
      <c r="R826" s="78"/>
      <c r="S826" s="78"/>
      <c r="T826" s="78"/>
      <c r="U826" s="78"/>
      <c r="V826" s="79"/>
    </row>
    <row r="827">
      <c r="A827" s="13"/>
      <c r="B827" s="13"/>
      <c r="C827" s="70"/>
      <c r="D827" s="70"/>
      <c r="E827" s="70"/>
      <c r="F827" s="70"/>
      <c r="O827" s="94"/>
      <c r="P827" s="23"/>
      <c r="Q827" s="78"/>
      <c r="R827" s="78"/>
      <c r="S827" s="78"/>
      <c r="T827" s="78"/>
      <c r="U827" s="78"/>
      <c r="V827" s="79"/>
    </row>
    <row r="828">
      <c r="A828" s="13"/>
      <c r="B828" s="13"/>
      <c r="C828" s="70"/>
      <c r="D828" s="70"/>
      <c r="E828" s="70"/>
      <c r="F828" s="70"/>
      <c r="O828" s="94"/>
      <c r="P828" s="23"/>
      <c r="Q828" s="78"/>
      <c r="R828" s="78"/>
      <c r="S828" s="78"/>
      <c r="T828" s="78"/>
      <c r="U828" s="78"/>
      <c r="V828" s="79"/>
    </row>
    <row r="829">
      <c r="A829" s="13"/>
      <c r="B829" s="13"/>
      <c r="C829" s="70"/>
      <c r="D829" s="70"/>
      <c r="E829" s="70"/>
      <c r="F829" s="70"/>
      <c r="O829" s="94"/>
      <c r="P829" s="23"/>
      <c r="Q829" s="78"/>
      <c r="R829" s="78"/>
      <c r="S829" s="78"/>
      <c r="T829" s="78"/>
      <c r="U829" s="78"/>
      <c r="V829" s="79"/>
    </row>
    <row r="830">
      <c r="A830" s="13"/>
      <c r="B830" s="13"/>
      <c r="C830" s="70"/>
      <c r="D830" s="70"/>
      <c r="E830" s="70"/>
      <c r="F830" s="70"/>
      <c r="O830" s="94"/>
      <c r="P830" s="23"/>
      <c r="Q830" s="78"/>
      <c r="R830" s="78"/>
      <c r="S830" s="78"/>
      <c r="T830" s="78"/>
      <c r="U830" s="78"/>
      <c r="V830" s="79"/>
    </row>
    <row r="831">
      <c r="A831" s="13"/>
      <c r="B831" s="13"/>
      <c r="C831" s="70"/>
      <c r="D831" s="70"/>
      <c r="E831" s="70"/>
      <c r="F831" s="70"/>
      <c r="O831" s="94"/>
      <c r="P831" s="23"/>
      <c r="Q831" s="78"/>
      <c r="R831" s="78"/>
      <c r="S831" s="78"/>
      <c r="T831" s="78"/>
      <c r="U831" s="78"/>
      <c r="V831" s="79"/>
    </row>
    <row r="832">
      <c r="A832" s="13"/>
      <c r="B832" s="13"/>
      <c r="C832" s="70"/>
      <c r="D832" s="70"/>
      <c r="E832" s="70"/>
      <c r="F832" s="70"/>
      <c r="O832" s="94"/>
      <c r="P832" s="23"/>
      <c r="Q832" s="78"/>
      <c r="R832" s="78"/>
      <c r="S832" s="78"/>
      <c r="T832" s="78"/>
      <c r="U832" s="78"/>
      <c r="V832" s="79"/>
    </row>
    <row r="833">
      <c r="A833" s="13"/>
      <c r="B833" s="13"/>
      <c r="C833" s="70"/>
      <c r="D833" s="70"/>
      <c r="E833" s="70"/>
      <c r="F833" s="70"/>
      <c r="O833" s="94"/>
      <c r="P833" s="23"/>
      <c r="Q833" s="78"/>
      <c r="R833" s="78"/>
      <c r="S833" s="78"/>
      <c r="T833" s="78"/>
      <c r="U833" s="78"/>
      <c r="V833" s="79"/>
    </row>
    <row r="834">
      <c r="A834" s="13"/>
      <c r="B834" s="13"/>
      <c r="C834" s="70"/>
      <c r="D834" s="70"/>
      <c r="E834" s="70"/>
      <c r="F834" s="70"/>
      <c r="O834" s="94"/>
      <c r="P834" s="23"/>
      <c r="Q834" s="78"/>
      <c r="R834" s="78"/>
      <c r="S834" s="78"/>
      <c r="T834" s="78"/>
      <c r="U834" s="78"/>
      <c r="V834" s="79"/>
    </row>
    <row r="835">
      <c r="A835" s="13"/>
      <c r="B835" s="13"/>
      <c r="C835" s="70"/>
      <c r="D835" s="70"/>
      <c r="E835" s="70"/>
      <c r="F835" s="70"/>
      <c r="O835" s="94"/>
      <c r="P835" s="23"/>
      <c r="Q835" s="78"/>
      <c r="R835" s="78"/>
      <c r="S835" s="78"/>
      <c r="T835" s="78"/>
      <c r="U835" s="78"/>
      <c r="V835" s="79"/>
    </row>
    <row r="836">
      <c r="A836" s="13"/>
      <c r="B836" s="13"/>
      <c r="C836" s="70"/>
      <c r="D836" s="70"/>
      <c r="E836" s="70"/>
      <c r="F836" s="70"/>
      <c r="O836" s="94"/>
      <c r="P836" s="23"/>
      <c r="Q836" s="78"/>
      <c r="R836" s="78"/>
      <c r="S836" s="78"/>
      <c r="T836" s="78"/>
      <c r="U836" s="78"/>
      <c r="V836" s="79"/>
    </row>
    <row r="837">
      <c r="A837" s="13"/>
      <c r="B837" s="13"/>
      <c r="C837" s="70"/>
      <c r="D837" s="70"/>
      <c r="E837" s="70"/>
      <c r="F837" s="70"/>
      <c r="O837" s="94"/>
      <c r="P837" s="23"/>
      <c r="Q837" s="78"/>
      <c r="R837" s="78"/>
      <c r="S837" s="78"/>
      <c r="T837" s="78"/>
      <c r="U837" s="78"/>
      <c r="V837" s="79"/>
    </row>
    <row r="838">
      <c r="A838" s="13"/>
      <c r="B838" s="13"/>
      <c r="C838" s="70"/>
      <c r="D838" s="70"/>
      <c r="E838" s="70"/>
      <c r="F838" s="70"/>
      <c r="O838" s="94"/>
      <c r="P838" s="23"/>
      <c r="Q838" s="78"/>
      <c r="R838" s="78"/>
      <c r="S838" s="78"/>
      <c r="T838" s="78"/>
      <c r="U838" s="78"/>
      <c r="V838" s="79"/>
    </row>
    <row r="839">
      <c r="A839" s="13"/>
      <c r="B839" s="13"/>
      <c r="C839" s="70"/>
      <c r="D839" s="70"/>
      <c r="E839" s="70"/>
      <c r="F839" s="70"/>
      <c r="O839" s="94"/>
      <c r="P839" s="23"/>
      <c r="Q839" s="78"/>
      <c r="R839" s="78"/>
      <c r="S839" s="78"/>
      <c r="T839" s="78"/>
      <c r="U839" s="78"/>
      <c r="V839" s="79"/>
    </row>
    <row r="840">
      <c r="A840" s="13"/>
      <c r="B840" s="13"/>
      <c r="C840" s="70"/>
      <c r="D840" s="70"/>
      <c r="E840" s="70"/>
      <c r="F840" s="70"/>
      <c r="O840" s="94"/>
      <c r="P840" s="23"/>
      <c r="Q840" s="78"/>
      <c r="R840" s="78"/>
      <c r="S840" s="78"/>
      <c r="T840" s="78"/>
      <c r="U840" s="78"/>
      <c r="V840" s="79"/>
    </row>
    <row r="841">
      <c r="A841" s="13"/>
      <c r="B841" s="13"/>
      <c r="C841" s="70"/>
      <c r="D841" s="70"/>
      <c r="E841" s="70"/>
      <c r="F841" s="70"/>
      <c r="O841" s="94"/>
      <c r="P841" s="23"/>
      <c r="Q841" s="78"/>
      <c r="R841" s="78"/>
      <c r="S841" s="78"/>
      <c r="T841" s="78"/>
      <c r="U841" s="78"/>
      <c r="V841" s="79"/>
    </row>
    <row r="842">
      <c r="A842" s="13"/>
      <c r="B842" s="13"/>
      <c r="C842" s="70"/>
      <c r="D842" s="70"/>
      <c r="E842" s="70"/>
      <c r="F842" s="70"/>
      <c r="O842" s="94"/>
      <c r="P842" s="23"/>
      <c r="Q842" s="78"/>
      <c r="R842" s="78"/>
      <c r="S842" s="78"/>
      <c r="T842" s="78"/>
      <c r="U842" s="78"/>
      <c r="V842" s="79"/>
    </row>
    <row r="843">
      <c r="A843" s="13"/>
      <c r="B843" s="13"/>
      <c r="C843" s="70"/>
      <c r="D843" s="70"/>
      <c r="E843" s="70"/>
      <c r="F843" s="70"/>
      <c r="O843" s="94"/>
      <c r="P843" s="23"/>
      <c r="Q843" s="78"/>
      <c r="R843" s="78"/>
      <c r="S843" s="78"/>
      <c r="T843" s="78"/>
      <c r="U843" s="78"/>
      <c r="V843" s="79"/>
    </row>
    <row r="844">
      <c r="A844" s="13"/>
      <c r="B844" s="13"/>
      <c r="C844" s="70"/>
      <c r="D844" s="70"/>
      <c r="E844" s="70"/>
      <c r="F844" s="70"/>
      <c r="O844" s="94"/>
      <c r="P844" s="23"/>
      <c r="Q844" s="78"/>
      <c r="R844" s="78"/>
      <c r="S844" s="78"/>
      <c r="T844" s="78"/>
      <c r="U844" s="78"/>
      <c r="V844" s="79"/>
    </row>
    <row r="845">
      <c r="A845" s="13"/>
      <c r="B845" s="13"/>
      <c r="C845" s="70"/>
      <c r="D845" s="70"/>
      <c r="E845" s="70"/>
      <c r="F845" s="70"/>
      <c r="O845" s="94"/>
      <c r="P845" s="23"/>
      <c r="Q845" s="78"/>
      <c r="R845" s="78"/>
      <c r="S845" s="78"/>
      <c r="T845" s="78"/>
      <c r="U845" s="78"/>
      <c r="V845" s="79"/>
    </row>
    <row r="846">
      <c r="A846" s="13"/>
      <c r="B846" s="13"/>
      <c r="C846" s="70"/>
      <c r="D846" s="70"/>
      <c r="E846" s="70"/>
      <c r="F846" s="70"/>
      <c r="O846" s="94"/>
      <c r="P846" s="23"/>
      <c r="Q846" s="78"/>
      <c r="R846" s="78"/>
      <c r="S846" s="78"/>
      <c r="T846" s="78"/>
      <c r="U846" s="78"/>
      <c r="V846" s="79"/>
    </row>
    <row r="847">
      <c r="A847" s="13"/>
      <c r="B847" s="13"/>
      <c r="C847" s="70"/>
      <c r="D847" s="70"/>
      <c r="E847" s="70"/>
      <c r="F847" s="70"/>
      <c r="O847" s="94"/>
      <c r="P847" s="23"/>
      <c r="Q847" s="78"/>
      <c r="R847" s="78"/>
      <c r="S847" s="78"/>
      <c r="T847" s="78"/>
      <c r="U847" s="78"/>
      <c r="V847" s="79"/>
    </row>
    <row r="848">
      <c r="A848" s="13"/>
      <c r="B848" s="13"/>
      <c r="C848" s="70"/>
      <c r="D848" s="70"/>
      <c r="E848" s="70"/>
      <c r="F848" s="70"/>
      <c r="O848" s="94"/>
      <c r="P848" s="23"/>
      <c r="Q848" s="78"/>
      <c r="R848" s="78"/>
      <c r="S848" s="78"/>
      <c r="T848" s="78"/>
      <c r="U848" s="78"/>
      <c r="V848" s="79"/>
    </row>
    <row r="849">
      <c r="A849" s="13"/>
      <c r="B849" s="13"/>
      <c r="C849" s="70"/>
      <c r="D849" s="70"/>
      <c r="E849" s="70"/>
      <c r="F849" s="70"/>
      <c r="O849" s="94"/>
      <c r="P849" s="23"/>
      <c r="Q849" s="78"/>
      <c r="R849" s="78"/>
      <c r="S849" s="78"/>
      <c r="T849" s="78"/>
      <c r="U849" s="78"/>
      <c r="V849" s="79"/>
    </row>
    <row r="850">
      <c r="A850" s="13"/>
      <c r="B850" s="13"/>
      <c r="C850" s="70"/>
      <c r="D850" s="70"/>
      <c r="E850" s="70"/>
      <c r="F850" s="70"/>
      <c r="O850" s="94"/>
      <c r="P850" s="23"/>
      <c r="Q850" s="78"/>
      <c r="R850" s="78"/>
      <c r="S850" s="78"/>
      <c r="T850" s="78"/>
      <c r="U850" s="78"/>
      <c r="V850" s="79"/>
    </row>
    <row r="851">
      <c r="A851" s="13"/>
      <c r="B851" s="13"/>
      <c r="C851" s="70"/>
      <c r="D851" s="70"/>
      <c r="E851" s="70"/>
      <c r="F851" s="70"/>
      <c r="O851" s="94"/>
      <c r="P851" s="23"/>
      <c r="Q851" s="78"/>
      <c r="R851" s="78"/>
      <c r="S851" s="78"/>
      <c r="T851" s="78"/>
      <c r="U851" s="78"/>
      <c r="V851" s="79"/>
    </row>
    <row r="852">
      <c r="A852" s="13"/>
      <c r="B852" s="13"/>
      <c r="C852" s="70"/>
      <c r="D852" s="70"/>
      <c r="E852" s="70"/>
      <c r="F852" s="70"/>
      <c r="O852" s="94"/>
      <c r="P852" s="23"/>
      <c r="Q852" s="78"/>
      <c r="R852" s="78"/>
      <c r="S852" s="78"/>
      <c r="T852" s="78"/>
      <c r="U852" s="78"/>
      <c r="V852" s="79"/>
    </row>
    <row r="853">
      <c r="A853" s="13"/>
      <c r="B853" s="13"/>
      <c r="C853" s="70"/>
      <c r="D853" s="70"/>
      <c r="E853" s="70"/>
      <c r="F853" s="70"/>
      <c r="O853" s="94"/>
      <c r="P853" s="23"/>
      <c r="Q853" s="78"/>
      <c r="R853" s="78"/>
      <c r="S853" s="78"/>
      <c r="T853" s="78"/>
      <c r="U853" s="78"/>
      <c r="V853" s="79"/>
    </row>
    <row r="854">
      <c r="A854" s="13"/>
      <c r="B854" s="13"/>
      <c r="C854" s="70"/>
      <c r="D854" s="70"/>
      <c r="E854" s="70"/>
      <c r="F854" s="70"/>
      <c r="O854" s="94"/>
      <c r="P854" s="23"/>
      <c r="Q854" s="78"/>
      <c r="R854" s="78"/>
      <c r="S854" s="78"/>
      <c r="T854" s="78"/>
      <c r="U854" s="78"/>
      <c r="V854" s="79"/>
    </row>
    <row r="855">
      <c r="A855" s="13"/>
      <c r="B855" s="13"/>
      <c r="C855" s="70"/>
      <c r="D855" s="70"/>
      <c r="E855" s="70"/>
      <c r="F855" s="70"/>
      <c r="O855" s="94"/>
      <c r="P855" s="23"/>
      <c r="Q855" s="78"/>
      <c r="R855" s="78"/>
      <c r="S855" s="78"/>
      <c r="T855" s="78"/>
      <c r="U855" s="78"/>
      <c r="V855" s="79"/>
    </row>
    <row r="856">
      <c r="A856" s="13"/>
      <c r="B856" s="13"/>
      <c r="C856" s="70"/>
      <c r="D856" s="70"/>
      <c r="E856" s="70"/>
      <c r="F856" s="70"/>
      <c r="O856" s="94"/>
      <c r="P856" s="23"/>
      <c r="Q856" s="78"/>
      <c r="R856" s="78"/>
      <c r="S856" s="78"/>
      <c r="T856" s="78"/>
      <c r="U856" s="78"/>
      <c r="V856" s="79"/>
    </row>
    <row r="857">
      <c r="A857" s="13"/>
      <c r="B857" s="13"/>
      <c r="C857" s="70"/>
      <c r="D857" s="70"/>
      <c r="E857" s="70"/>
      <c r="F857" s="70"/>
      <c r="O857" s="94"/>
      <c r="P857" s="23"/>
      <c r="Q857" s="78"/>
      <c r="R857" s="78"/>
      <c r="S857" s="78"/>
      <c r="T857" s="78"/>
      <c r="U857" s="78"/>
      <c r="V857" s="79"/>
    </row>
    <row r="858">
      <c r="A858" s="13"/>
      <c r="B858" s="13"/>
      <c r="C858" s="70"/>
      <c r="D858" s="70"/>
      <c r="E858" s="70"/>
      <c r="F858" s="70"/>
      <c r="O858" s="94"/>
      <c r="P858" s="23"/>
      <c r="Q858" s="78"/>
      <c r="R858" s="78"/>
      <c r="S858" s="78"/>
      <c r="T858" s="78"/>
      <c r="U858" s="78"/>
      <c r="V858" s="79"/>
    </row>
    <row r="859">
      <c r="A859" s="13"/>
      <c r="B859" s="13"/>
      <c r="C859" s="70"/>
      <c r="D859" s="70"/>
      <c r="E859" s="70"/>
      <c r="F859" s="70"/>
      <c r="O859" s="94"/>
      <c r="P859" s="23"/>
      <c r="Q859" s="78"/>
      <c r="R859" s="78"/>
      <c r="S859" s="78"/>
      <c r="T859" s="78"/>
      <c r="U859" s="78"/>
      <c r="V859" s="79"/>
    </row>
    <row r="860">
      <c r="A860" s="13"/>
      <c r="B860" s="13"/>
      <c r="C860" s="70"/>
      <c r="D860" s="70"/>
      <c r="E860" s="70"/>
      <c r="F860" s="70"/>
      <c r="O860" s="94"/>
      <c r="P860" s="23"/>
      <c r="Q860" s="78"/>
      <c r="R860" s="78"/>
      <c r="S860" s="78"/>
      <c r="T860" s="78"/>
      <c r="U860" s="78"/>
      <c r="V860" s="79"/>
    </row>
    <row r="861">
      <c r="A861" s="13"/>
      <c r="B861" s="13"/>
      <c r="C861" s="70"/>
      <c r="D861" s="70"/>
      <c r="E861" s="70"/>
      <c r="F861" s="70"/>
      <c r="O861" s="94"/>
      <c r="P861" s="23"/>
      <c r="Q861" s="78"/>
      <c r="R861" s="78"/>
      <c r="S861" s="78"/>
      <c r="T861" s="78"/>
      <c r="U861" s="78"/>
      <c r="V861" s="79"/>
    </row>
    <row r="862">
      <c r="A862" s="13"/>
      <c r="B862" s="13"/>
      <c r="C862" s="70"/>
      <c r="D862" s="70"/>
      <c r="E862" s="70"/>
      <c r="F862" s="70"/>
      <c r="O862" s="94"/>
      <c r="P862" s="23"/>
      <c r="Q862" s="78"/>
      <c r="R862" s="78"/>
      <c r="S862" s="78"/>
      <c r="T862" s="78"/>
      <c r="U862" s="78"/>
      <c r="V862" s="79"/>
    </row>
    <row r="863">
      <c r="A863" s="13"/>
      <c r="B863" s="13"/>
      <c r="C863" s="70"/>
      <c r="D863" s="70"/>
      <c r="E863" s="70"/>
      <c r="F863" s="70"/>
      <c r="O863" s="94"/>
      <c r="P863" s="23"/>
      <c r="Q863" s="78"/>
      <c r="R863" s="78"/>
      <c r="S863" s="78"/>
      <c r="T863" s="78"/>
      <c r="U863" s="78"/>
      <c r="V863" s="79"/>
    </row>
    <row r="864">
      <c r="A864" s="13"/>
      <c r="B864" s="13"/>
      <c r="C864" s="70"/>
      <c r="D864" s="70"/>
      <c r="E864" s="70"/>
      <c r="F864" s="70"/>
      <c r="O864" s="94"/>
      <c r="P864" s="23"/>
      <c r="Q864" s="78"/>
      <c r="R864" s="78"/>
      <c r="S864" s="78"/>
      <c r="T864" s="78"/>
      <c r="U864" s="78"/>
      <c r="V864" s="79"/>
    </row>
    <row r="865">
      <c r="A865" s="13"/>
      <c r="B865" s="13"/>
      <c r="C865" s="70"/>
      <c r="D865" s="70"/>
      <c r="E865" s="70"/>
      <c r="F865" s="70"/>
      <c r="O865" s="94"/>
      <c r="P865" s="23"/>
      <c r="Q865" s="78"/>
      <c r="R865" s="78"/>
      <c r="S865" s="78"/>
      <c r="T865" s="78"/>
      <c r="U865" s="78"/>
      <c r="V865" s="79"/>
    </row>
    <row r="866">
      <c r="A866" s="13"/>
      <c r="B866" s="13"/>
      <c r="C866" s="70"/>
      <c r="D866" s="70"/>
      <c r="E866" s="70"/>
      <c r="F866" s="70"/>
      <c r="O866" s="94"/>
      <c r="P866" s="23"/>
      <c r="Q866" s="78"/>
      <c r="R866" s="78"/>
      <c r="S866" s="78"/>
      <c r="T866" s="78"/>
      <c r="U866" s="78"/>
      <c r="V866" s="79"/>
    </row>
    <row r="867">
      <c r="A867" s="13"/>
      <c r="B867" s="13"/>
      <c r="C867" s="70"/>
      <c r="D867" s="70"/>
      <c r="E867" s="70"/>
      <c r="F867" s="70"/>
      <c r="O867" s="94"/>
      <c r="P867" s="23"/>
      <c r="Q867" s="78"/>
      <c r="R867" s="78"/>
      <c r="S867" s="78"/>
      <c r="T867" s="78"/>
      <c r="U867" s="78"/>
      <c r="V867" s="79"/>
    </row>
    <row r="868">
      <c r="A868" s="13"/>
      <c r="B868" s="13"/>
      <c r="C868" s="70"/>
      <c r="D868" s="70"/>
      <c r="E868" s="70"/>
      <c r="F868" s="70"/>
      <c r="O868" s="94"/>
      <c r="P868" s="23"/>
      <c r="Q868" s="78"/>
      <c r="R868" s="78"/>
      <c r="S868" s="78"/>
      <c r="T868" s="78"/>
      <c r="U868" s="78"/>
      <c r="V868" s="79"/>
    </row>
    <row r="869">
      <c r="A869" s="13"/>
      <c r="B869" s="13"/>
      <c r="C869" s="70"/>
      <c r="D869" s="70"/>
      <c r="E869" s="70"/>
      <c r="F869" s="70"/>
      <c r="O869" s="94"/>
      <c r="P869" s="23"/>
      <c r="Q869" s="78"/>
      <c r="R869" s="78"/>
      <c r="S869" s="78"/>
      <c r="T869" s="78"/>
      <c r="U869" s="78"/>
      <c r="V869" s="79"/>
    </row>
    <row r="870">
      <c r="A870" s="13"/>
      <c r="B870" s="13"/>
      <c r="C870" s="70"/>
      <c r="D870" s="70"/>
      <c r="E870" s="70"/>
      <c r="F870" s="70"/>
      <c r="O870" s="94"/>
      <c r="P870" s="23"/>
      <c r="Q870" s="78"/>
      <c r="R870" s="78"/>
      <c r="S870" s="78"/>
      <c r="T870" s="78"/>
      <c r="U870" s="78"/>
      <c r="V870" s="79"/>
    </row>
    <row r="871">
      <c r="A871" s="13"/>
      <c r="B871" s="13"/>
      <c r="C871" s="70"/>
      <c r="D871" s="70"/>
      <c r="E871" s="70"/>
      <c r="F871" s="70"/>
      <c r="O871" s="94"/>
      <c r="P871" s="23"/>
      <c r="Q871" s="78"/>
      <c r="R871" s="78"/>
      <c r="S871" s="78"/>
      <c r="T871" s="78"/>
      <c r="U871" s="78"/>
      <c r="V871" s="79"/>
    </row>
    <row r="872">
      <c r="A872" s="13"/>
      <c r="B872" s="13"/>
      <c r="C872" s="70"/>
      <c r="D872" s="70"/>
      <c r="E872" s="70"/>
      <c r="F872" s="70"/>
      <c r="O872" s="94"/>
      <c r="P872" s="23"/>
      <c r="Q872" s="78"/>
      <c r="R872" s="78"/>
      <c r="S872" s="78"/>
      <c r="T872" s="78"/>
      <c r="U872" s="78"/>
      <c r="V872" s="79"/>
    </row>
    <row r="873">
      <c r="A873" s="13"/>
      <c r="B873" s="13"/>
      <c r="C873" s="70"/>
      <c r="D873" s="70"/>
      <c r="E873" s="70"/>
      <c r="F873" s="70"/>
      <c r="O873" s="94"/>
      <c r="P873" s="23"/>
      <c r="Q873" s="78"/>
      <c r="R873" s="78"/>
      <c r="S873" s="78"/>
      <c r="T873" s="78"/>
      <c r="U873" s="78"/>
      <c r="V873" s="79"/>
    </row>
    <row r="874">
      <c r="A874" s="13"/>
      <c r="B874" s="13"/>
      <c r="C874" s="70"/>
      <c r="D874" s="70"/>
      <c r="E874" s="70"/>
      <c r="F874" s="70"/>
      <c r="O874" s="94"/>
      <c r="P874" s="23"/>
      <c r="Q874" s="78"/>
      <c r="R874" s="78"/>
      <c r="S874" s="78"/>
      <c r="T874" s="78"/>
      <c r="U874" s="78"/>
      <c r="V874" s="79"/>
    </row>
    <row r="875">
      <c r="A875" s="13"/>
      <c r="B875" s="13"/>
      <c r="C875" s="70"/>
      <c r="D875" s="70"/>
      <c r="E875" s="70"/>
      <c r="F875" s="70"/>
      <c r="O875" s="94"/>
      <c r="P875" s="23"/>
      <c r="Q875" s="78"/>
      <c r="R875" s="78"/>
      <c r="S875" s="78"/>
      <c r="T875" s="78"/>
      <c r="U875" s="78"/>
      <c r="V875" s="79"/>
    </row>
    <row r="876">
      <c r="A876" s="13"/>
      <c r="B876" s="13"/>
      <c r="C876" s="70"/>
      <c r="D876" s="70"/>
      <c r="E876" s="70"/>
      <c r="F876" s="70"/>
      <c r="O876" s="94"/>
      <c r="P876" s="23"/>
      <c r="Q876" s="78"/>
      <c r="R876" s="78"/>
      <c r="S876" s="78"/>
      <c r="T876" s="78"/>
      <c r="U876" s="78"/>
      <c r="V876" s="79"/>
    </row>
    <row r="877">
      <c r="A877" s="13"/>
      <c r="B877" s="13"/>
      <c r="C877" s="70"/>
      <c r="D877" s="70"/>
      <c r="E877" s="70"/>
      <c r="F877" s="70"/>
      <c r="O877" s="94"/>
      <c r="P877" s="23"/>
      <c r="Q877" s="78"/>
      <c r="R877" s="78"/>
      <c r="S877" s="78"/>
      <c r="T877" s="78"/>
      <c r="U877" s="78"/>
      <c r="V877" s="79"/>
    </row>
    <row r="878">
      <c r="A878" s="13"/>
      <c r="B878" s="13"/>
      <c r="C878" s="70"/>
      <c r="D878" s="70"/>
      <c r="E878" s="70"/>
      <c r="F878" s="70"/>
      <c r="O878" s="94"/>
      <c r="P878" s="23"/>
      <c r="Q878" s="78"/>
      <c r="R878" s="78"/>
      <c r="S878" s="78"/>
      <c r="T878" s="78"/>
      <c r="U878" s="78"/>
      <c r="V878" s="79"/>
    </row>
    <row r="879">
      <c r="A879" s="13"/>
      <c r="B879" s="13"/>
      <c r="C879" s="70"/>
      <c r="D879" s="70"/>
      <c r="E879" s="70"/>
      <c r="F879" s="70"/>
      <c r="O879" s="94"/>
      <c r="P879" s="23"/>
      <c r="Q879" s="78"/>
      <c r="R879" s="78"/>
      <c r="S879" s="78"/>
      <c r="T879" s="78"/>
      <c r="U879" s="78"/>
      <c r="V879" s="79"/>
    </row>
    <row r="880">
      <c r="A880" s="13"/>
      <c r="B880" s="13"/>
      <c r="C880" s="70"/>
      <c r="D880" s="70"/>
      <c r="E880" s="70"/>
      <c r="F880" s="70"/>
      <c r="O880" s="94"/>
      <c r="P880" s="23"/>
      <c r="Q880" s="78"/>
      <c r="R880" s="78"/>
      <c r="S880" s="78"/>
      <c r="T880" s="78"/>
      <c r="U880" s="78"/>
      <c r="V880" s="79"/>
    </row>
    <row r="881">
      <c r="A881" s="13"/>
      <c r="B881" s="13"/>
      <c r="C881" s="70"/>
      <c r="D881" s="70"/>
      <c r="E881" s="70"/>
      <c r="F881" s="70"/>
      <c r="O881" s="94"/>
      <c r="P881" s="23"/>
      <c r="Q881" s="78"/>
      <c r="R881" s="78"/>
      <c r="S881" s="78"/>
      <c r="T881" s="78"/>
      <c r="U881" s="78"/>
      <c r="V881" s="79"/>
    </row>
    <row r="882">
      <c r="A882" s="13"/>
      <c r="B882" s="13"/>
      <c r="C882" s="70"/>
      <c r="D882" s="70"/>
      <c r="E882" s="70"/>
      <c r="F882" s="70"/>
      <c r="O882" s="94"/>
      <c r="P882" s="23"/>
      <c r="Q882" s="78"/>
      <c r="R882" s="78"/>
      <c r="S882" s="78"/>
      <c r="T882" s="78"/>
      <c r="U882" s="78"/>
      <c r="V882" s="79"/>
    </row>
    <row r="883">
      <c r="A883" s="13"/>
      <c r="B883" s="13"/>
      <c r="C883" s="70"/>
      <c r="D883" s="70"/>
      <c r="E883" s="70"/>
      <c r="F883" s="70"/>
      <c r="O883" s="94"/>
      <c r="P883" s="23"/>
      <c r="Q883" s="78"/>
      <c r="R883" s="78"/>
      <c r="S883" s="78"/>
      <c r="T883" s="78"/>
      <c r="U883" s="78"/>
      <c r="V883" s="79"/>
    </row>
    <row r="884">
      <c r="A884" s="13"/>
      <c r="B884" s="13"/>
      <c r="C884" s="70"/>
      <c r="D884" s="70"/>
      <c r="E884" s="70"/>
      <c r="F884" s="70"/>
      <c r="O884" s="94"/>
      <c r="P884" s="23"/>
      <c r="Q884" s="78"/>
      <c r="R884" s="78"/>
      <c r="S884" s="78"/>
      <c r="T884" s="78"/>
      <c r="U884" s="78"/>
      <c r="V884" s="79"/>
    </row>
    <row r="885">
      <c r="A885" s="13"/>
      <c r="B885" s="13"/>
      <c r="C885" s="70"/>
      <c r="D885" s="70"/>
      <c r="E885" s="70"/>
      <c r="F885" s="70"/>
      <c r="O885" s="94"/>
      <c r="P885" s="23"/>
      <c r="Q885" s="78"/>
      <c r="R885" s="78"/>
      <c r="S885" s="78"/>
      <c r="T885" s="78"/>
      <c r="U885" s="78"/>
      <c r="V885" s="79"/>
    </row>
    <row r="886">
      <c r="A886" s="13"/>
      <c r="B886" s="13"/>
      <c r="C886" s="70"/>
      <c r="D886" s="70"/>
      <c r="E886" s="70"/>
      <c r="F886" s="70"/>
      <c r="O886" s="94"/>
      <c r="P886" s="23"/>
      <c r="Q886" s="78"/>
      <c r="R886" s="78"/>
      <c r="S886" s="78"/>
      <c r="T886" s="78"/>
      <c r="U886" s="78"/>
      <c r="V886" s="79"/>
    </row>
    <row r="887">
      <c r="A887" s="13"/>
      <c r="B887" s="13"/>
      <c r="C887" s="70"/>
      <c r="D887" s="70"/>
      <c r="E887" s="70"/>
      <c r="F887" s="70"/>
      <c r="O887" s="94"/>
      <c r="P887" s="23"/>
      <c r="Q887" s="78"/>
      <c r="R887" s="78"/>
      <c r="S887" s="78"/>
      <c r="T887" s="78"/>
      <c r="U887" s="78"/>
      <c r="V887" s="79"/>
    </row>
    <row r="888">
      <c r="A888" s="13"/>
      <c r="B888" s="13"/>
      <c r="C888" s="70"/>
      <c r="D888" s="70"/>
      <c r="E888" s="70"/>
      <c r="F888" s="70"/>
      <c r="O888" s="94"/>
      <c r="P888" s="23"/>
      <c r="Q888" s="78"/>
      <c r="R888" s="78"/>
      <c r="S888" s="78"/>
      <c r="T888" s="78"/>
      <c r="U888" s="78"/>
      <c r="V888" s="79"/>
    </row>
    <row r="889">
      <c r="A889" s="13"/>
      <c r="B889" s="13"/>
      <c r="C889" s="70"/>
      <c r="D889" s="70"/>
      <c r="E889" s="70"/>
      <c r="F889" s="70"/>
      <c r="O889" s="94"/>
      <c r="P889" s="23"/>
      <c r="Q889" s="78"/>
      <c r="R889" s="78"/>
      <c r="S889" s="78"/>
      <c r="T889" s="78"/>
      <c r="U889" s="78"/>
      <c r="V889" s="79"/>
    </row>
    <row r="890">
      <c r="A890" s="13"/>
      <c r="B890" s="13"/>
      <c r="C890" s="70"/>
      <c r="D890" s="70"/>
      <c r="E890" s="70"/>
      <c r="F890" s="70"/>
      <c r="O890" s="94"/>
      <c r="P890" s="23"/>
      <c r="Q890" s="78"/>
      <c r="R890" s="78"/>
      <c r="S890" s="78"/>
      <c r="T890" s="78"/>
      <c r="U890" s="78"/>
      <c r="V890" s="79"/>
    </row>
    <row r="891">
      <c r="A891" s="13"/>
      <c r="B891" s="13"/>
      <c r="C891" s="70"/>
      <c r="D891" s="70"/>
      <c r="E891" s="70"/>
      <c r="F891" s="70"/>
      <c r="O891" s="94"/>
      <c r="P891" s="23"/>
      <c r="Q891" s="78"/>
      <c r="R891" s="78"/>
      <c r="S891" s="78"/>
      <c r="T891" s="78"/>
      <c r="U891" s="78"/>
      <c r="V891" s="79"/>
    </row>
    <row r="892">
      <c r="A892" s="13"/>
      <c r="B892" s="13"/>
      <c r="C892" s="70"/>
      <c r="D892" s="70"/>
      <c r="E892" s="70"/>
      <c r="F892" s="70"/>
      <c r="O892" s="94"/>
      <c r="P892" s="23"/>
      <c r="Q892" s="78"/>
      <c r="R892" s="78"/>
      <c r="S892" s="78"/>
      <c r="T892" s="78"/>
      <c r="U892" s="78"/>
      <c r="V892" s="79"/>
    </row>
    <row r="893">
      <c r="A893" s="13"/>
      <c r="B893" s="13"/>
      <c r="C893" s="70"/>
      <c r="D893" s="70"/>
      <c r="E893" s="70"/>
      <c r="F893" s="70"/>
      <c r="O893" s="94"/>
      <c r="P893" s="23"/>
      <c r="Q893" s="78"/>
      <c r="R893" s="78"/>
      <c r="S893" s="78"/>
      <c r="T893" s="78"/>
      <c r="U893" s="78"/>
      <c r="V893" s="79"/>
    </row>
    <row r="894">
      <c r="A894" s="13"/>
      <c r="B894" s="13"/>
      <c r="C894" s="70"/>
      <c r="D894" s="70"/>
      <c r="E894" s="70"/>
      <c r="F894" s="70"/>
      <c r="O894" s="94"/>
      <c r="P894" s="23"/>
      <c r="Q894" s="78"/>
      <c r="R894" s="78"/>
      <c r="S894" s="78"/>
      <c r="T894" s="78"/>
      <c r="U894" s="78"/>
      <c r="V894" s="79"/>
    </row>
    <row r="895">
      <c r="A895" s="13"/>
      <c r="B895" s="13"/>
      <c r="C895" s="70"/>
      <c r="D895" s="70"/>
      <c r="E895" s="70"/>
      <c r="F895" s="70"/>
      <c r="O895" s="94"/>
      <c r="P895" s="23"/>
      <c r="Q895" s="78"/>
      <c r="R895" s="78"/>
      <c r="S895" s="78"/>
      <c r="T895" s="78"/>
      <c r="U895" s="78"/>
      <c r="V895" s="79"/>
    </row>
    <row r="896">
      <c r="A896" s="13"/>
      <c r="B896" s="13"/>
      <c r="C896" s="70"/>
      <c r="D896" s="70"/>
      <c r="E896" s="70"/>
      <c r="F896" s="70"/>
      <c r="O896" s="94"/>
      <c r="P896" s="23"/>
      <c r="Q896" s="78"/>
      <c r="R896" s="78"/>
      <c r="S896" s="78"/>
      <c r="T896" s="78"/>
      <c r="U896" s="78"/>
      <c r="V896" s="79"/>
    </row>
    <row r="897">
      <c r="A897" s="13"/>
      <c r="B897" s="13"/>
      <c r="C897" s="70"/>
      <c r="D897" s="70"/>
      <c r="E897" s="70"/>
      <c r="F897" s="70"/>
      <c r="O897" s="94"/>
      <c r="P897" s="23"/>
      <c r="Q897" s="78"/>
      <c r="R897" s="78"/>
      <c r="S897" s="78"/>
      <c r="T897" s="78"/>
      <c r="U897" s="78"/>
      <c r="V897" s="79"/>
    </row>
    <row r="898">
      <c r="A898" s="13"/>
      <c r="B898" s="13"/>
      <c r="C898" s="70"/>
      <c r="D898" s="70"/>
      <c r="E898" s="70"/>
      <c r="F898" s="70"/>
      <c r="O898" s="94"/>
      <c r="P898" s="23"/>
      <c r="Q898" s="78"/>
      <c r="R898" s="78"/>
      <c r="S898" s="78"/>
      <c r="T898" s="78"/>
      <c r="U898" s="78"/>
      <c r="V898" s="79"/>
    </row>
    <row r="899">
      <c r="A899" s="13"/>
      <c r="B899" s="13"/>
      <c r="C899" s="70"/>
      <c r="D899" s="70"/>
      <c r="E899" s="70"/>
      <c r="F899" s="70"/>
      <c r="O899" s="94"/>
      <c r="P899" s="23"/>
      <c r="Q899" s="78"/>
      <c r="R899" s="78"/>
      <c r="S899" s="78"/>
      <c r="T899" s="78"/>
      <c r="U899" s="78"/>
      <c r="V899" s="79"/>
    </row>
    <row r="900">
      <c r="A900" s="13"/>
      <c r="B900" s="13"/>
      <c r="C900" s="70"/>
      <c r="D900" s="70"/>
      <c r="E900" s="70"/>
      <c r="F900" s="70"/>
      <c r="O900" s="94"/>
      <c r="P900" s="23"/>
      <c r="Q900" s="78"/>
      <c r="R900" s="78"/>
      <c r="S900" s="78"/>
      <c r="T900" s="78"/>
      <c r="U900" s="78"/>
      <c r="V900" s="79"/>
    </row>
    <row r="901">
      <c r="A901" s="13"/>
      <c r="B901" s="13"/>
      <c r="C901" s="70"/>
      <c r="D901" s="70"/>
      <c r="E901" s="70"/>
      <c r="F901" s="70"/>
      <c r="O901" s="94"/>
      <c r="P901" s="23"/>
      <c r="Q901" s="78"/>
      <c r="R901" s="78"/>
      <c r="S901" s="78"/>
      <c r="T901" s="78"/>
      <c r="U901" s="78"/>
      <c r="V901" s="79"/>
    </row>
    <row r="902">
      <c r="A902" s="13"/>
      <c r="B902" s="13"/>
      <c r="C902" s="70"/>
      <c r="D902" s="70"/>
      <c r="E902" s="70"/>
      <c r="F902" s="70"/>
      <c r="O902" s="94"/>
      <c r="P902" s="23"/>
      <c r="Q902" s="78"/>
      <c r="R902" s="78"/>
      <c r="S902" s="78"/>
      <c r="T902" s="78"/>
      <c r="U902" s="78"/>
      <c r="V902" s="79"/>
    </row>
    <row r="903">
      <c r="A903" s="13"/>
      <c r="B903" s="13"/>
      <c r="C903" s="70"/>
      <c r="D903" s="70"/>
      <c r="E903" s="70"/>
      <c r="F903" s="70"/>
      <c r="O903" s="94"/>
      <c r="P903" s="23"/>
      <c r="Q903" s="78"/>
      <c r="R903" s="78"/>
      <c r="S903" s="78"/>
      <c r="T903" s="78"/>
      <c r="U903" s="78"/>
      <c r="V903" s="79"/>
    </row>
    <row r="904">
      <c r="A904" s="13"/>
      <c r="B904" s="13"/>
      <c r="C904" s="70"/>
      <c r="D904" s="70"/>
      <c r="E904" s="70"/>
      <c r="F904" s="70"/>
      <c r="O904" s="94"/>
      <c r="P904" s="23"/>
      <c r="Q904" s="78"/>
      <c r="R904" s="78"/>
      <c r="S904" s="78"/>
      <c r="T904" s="78"/>
      <c r="U904" s="78"/>
      <c r="V904" s="79"/>
    </row>
    <row r="905">
      <c r="A905" s="13"/>
      <c r="B905" s="13"/>
      <c r="C905" s="70"/>
      <c r="D905" s="70"/>
      <c r="E905" s="70"/>
      <c r="F905" s="70"/>
      <c r="O905" s="94"/>
      <c r="P905" s="23"/>
      <c r="Q905" s="78"/>
      <c r="R905" s="78"/>
      <c r="S905" s="78"/>
      <c r="T905" s="78"/>
      <c r="U905" s="78"/>
      <c r="V905" s="79"/>
    </row>
    <row r="906">
      <c r="A906" s="13"/>
      <c r="B906" s="13"/>
      <c r="C906" s="70"/>
      <c r="D906" s="70"/>
      <c r="E906" s="70"/>
      <c r="F906" s="70"/>
      <c r="O906" s="94"/>
      <c r="P906" s="23"/>
      <c r="Q906" s="78"/>
      <c r="R906" s="78"/>
      <c r="S906" s="78"/>
      <c r="T906" s="78"/>
      <c r="U906" s="78"/>
      <c r="V906" s="79"/>
    </row>
    <row r="907">
      <c r="A907" s="13"/>
      <c r="B907" s="13"/>
      <c r="C907" s="70"/>
      <c r="D907" s="70"/>
      <c r="E907" s="70"/>
      <c r="F907" s="70"/>
      <c r="O907" s="94"/>
      <c r="P907" s="23"/>
      <c r="Q907" s="78"/>
      <c r="R907" s="78"/>
      <c r="S907" s="78"/>
      <c r="T907" s="78"/>
      <c r="U907" s="78"/>
      <c r="V907" s="79"/>
    </row>
    <row r="908">
      <c r="A908" s="13"/>
      <c r="B908" s="13"/>
      <c r="C908" s="70"/>
      <c r="D908" s="70"/>
      <c r="E908" s="70"/>
      <c r="F908" s="70"/>
      <c r="O908" s="94"/>
      <c r="P908" s="23"/>
      <c r="Q908" s="78"/>
      <c r="R908" s="78"/>
      <c r="S908" s="78"/>
      <c r="T908" s="78"/>
      <c r="U908" s="78"/>
      <c r="V908" s="79"/>
    </row>
    <row r="909">
      <c r="A909" s="13"/>
      <c r="B909" s="13"/>
      <c r="C909" s="70"/>
      <c r="D909" s="70"/>
      <c r="E909" s="70"/>
      <c r="F909" s="70"/>
      <c r="O909" s="94"/>
      <c r="P909" s="23"/>
      <c r="Q909" s="78"/>
      <c r="R909" s="78"/>
      <c r="S909" s="78"/>
      <c r="T909" s="78"/>
      <c r="U909" s="78"/>
      <c r="V909" s="79"/>
    </row>
    <row r="910">
      <c r="A910" s="13"/>
      <c r="B910" s="13"/>
      <c r="C910" s="70"/>
      <c r="D910" s="70"/>
      <c r="E910" s="70"/>
      <c r="F910" s="70"/>
      <c r="O910" s="94"/>
      <c r="P910" s="23"/>
      <c r="Q910" s="78"/>
      <c r="R910" s="78"/>
      <c r="S910" s="78"/>
      <c r="T910" s="78"/>
      <c r="U910" s="78"/>
      <c r="V910" s="79"/>
    </row>
    <row r="911">
      <c r="A911" s="13"/>
      <c r="B911" s="13"/>
      <c r="C911" s="70"/>
      <c r="D911" s="70"/>
      <c r="E911" s="70"/>
      <c r="F911" s="70"/>
      <c r="O911" s="94"/>
      <c r="P911" s="23"/>
      <c r="Q911" s="78"/>
      <c r="R911" s="78"/>
      <c r="S911" s="78"/>
      <c r="T911" s="78"/>
      <c r="U911" s="78"/>
      <c r="V911" s="79"/>
    </row>
    <row r="912">
      <c r="A912" s="13"/>
      <c r="B912" s="13"/>
      <c r="C912" s="70"/>
      <c r="D912" s="70"/>
      <c r="E912" s="70"/>
      <c r="F912" s="70"/>
      <c r="O912" s="94"/>
      <c r="P912" s="23"/>
      <c r="Q912" s="78"/>
      <c r="R912" s="78"/>
      <c r="S912" s="78"/>
      <c r="T912" s="78"/>
      <c r="U912" s="78"/>
      <c r="V912" s="79"/>
    </row>
    <row r="913">
      <c r="A913" s="13"/>
      <c r="B913" s="13"/>
      <c r="C913" s="70"/>
      <c r="D913" s="70"/>
      <c r="E913" s="70"/>
      <c r="F913" s="70"/>
      <c r="O913" s="94"/>
      <c r="P913" s="23"/>
      <c r="Q913" s="78"/>
      <c r="R913" s="78"/>
      <c r="S913" s="78"/>
      <c r="T913" s="78"/>
      <c r="U913" s="78"/>
      <c r="V913" s="79"/>
    </row>
    <row r="914">
      <c r="A914" s="13"/>
      <c r="B914" s="13"/>
      <c r="C914" s="70"/>
      <c r="D914" s="70"/>
      <c r="E914" s="70"/>
      <c r="F914" s="70"/>
      <c r="O914" s="94"/>
      <c r="P914" s="23"/>
      <c r="Q914" s="78"/>
      <c r="R914" s="78"/>
      <c r="S914" s="78"/>
      <c r="T914" s="78"/>
      <c r="U914" s="78"/>
      <c r="V914" s="79"/>
    </row>
    <row r="915">
      <c r="A915" s="13"/>
      <c r="B915" s="13"/>
      <c r="C915" s="70"/>
      <c r="D915" s="70"/>
      <c r="E915" s="70"/>
      <c r="F915" s="70"/>
      <c r="O915" s="94"/>
      <c r="P915" s="23"/>
      <c r="Q915" s="78"/>
      <c r="R915" s="78"/>
      <c r="S915" s="78"/>
      <c r="T915" s="78"/>
      <c r="U915" s="78"/>
      <c r="V915" s="79"/>
    </row>
    <row r="916">
      <c r="A916" s="13"/>
      <c r="B916" s="13"/>
      <c r="C916" s="70"/>
      <c r="D916" s="70"/>
      <c r="E916" s="70"/>
      <c r="F916" s="70"/>
      <c r="O916" s="94"/>
      <c r="P916" s="23"/>
      <c r="Q916" s="78"/>
      <c r="R916" s="78"/>
      <c r="S916" s="78"/>
      <c r="T916" s="78"/>
      <c r="U916" s="78"/>
      <c r="V916" s="79"/>
    </row>
    <row r="917">
      <c r="A917" s="13"/>
      <c r="B917" s="13"/>
      <c r="C917" s="70"/>
      <c r="D917" s="70"/>
      <c r="E917" s="70"/>
      <c r="F917" s="70"/>
      <c r="O917" s="94"/>
      <c r="P917" s="23"/>
      <c r="Q917" s="78"/>
      <c r="R917" s="78"/>
      <c r="S917" s="78"/>
      <c r="T917" s="78"/>
      <c r="U917" s="78"/>
      <c r="V917" s="79"/>
    </row>
    <row r="918">
      <c r="A918" s="13"/>
      <c r="B918" s="13"/>
      <c r="C918" s="70"/>
      <c r="D918" s="70"/>
      <c r="E918" s="70"/>
      <c r="F918" s="70"/>
      <c r="O918" s="94"/>
      <c r="P918" s="23"/>
      <c r="Q918" s="78"/>
      <c r="R918" s="78"/>
      <c r="S918" s="78"/>
      <c r="T918" s="78"/>
      <c r="U918" s="78"/>
      <c r="V918" s="79"/>
    </row>
    <row r="919">
      <c r="A919" s="13"/>
      <c r="B919" s="13"/>
      <c r="C919" s="70"/>
      <c r="D919" s="70"/>
      <c r="E919" s="70"/>
      <c r="F919" s="70"/>
      <c r="O919" s="94"/>
      <c r="P919" s="23"/>
      <c r="Q919" s="78"/>
      <c r="R919" s="78"/>
      <c r="S919" s="78"/>
      <c r="T919" s="78"/>
      <c r="U919" s="78"/>
      <c r="V919" s="79"/>
    </row>
    <row r="920">
      <c r="A920" s="13"/>
      <c r="B920" s="13"/>
      <c r="C920" s="70"/>
      <c r="D920" s="70"/>
      <c r="E920" s="70"/>
      <c r="F920" s="70"/>
      <c r="O920" s="94"/>
      <c r="P920" s="23"/>
      <c r="Q920" s="78"/>
      <c r="R920" s="78"/>
      <c r="S920" s="78"/>
      <c r="T920" s="78"/>
      <c r="U920" s="78"/>
      <c r="V920" s="79"/>
    </row>
    <row r="921">
      <c r="A921" s="13"/>
      <c r="B921" s="13"/>
      <c r="C921" s="70"/>
      <c r="D921" s="70"/>
      <c r="E921" s="70"/>
      <c r="F921" s="70"/>
      <c r="O921" s="94"/>
      <c r="P921" s="23"/>
      <c r="Q921" s="78"/>
      <c r="R921" s="78"/>
      <c r="S921" s="78"/>
      <c r="T921" s="78"/>
      <c r="U921" s="78"/>
      <c r="V921" s="79"/>
    </row>
    <row r="922">
      <c r="A922" s="13"/>
      <c r="B922" s="13"/>
      <c r="C922" s="70"/>
      <c r="D922" s="70"/>
      <c r="E922" s="70"/>
      <c r="F922" s="70"/>
      <c r="O922" s="94"/>
      <c r="P922" s="23"/>
      <c r="Q922" s="78"/>
      <c r="R922" s="78"/>
      <c r="S922" s="78"/>
      <c r="T922" s="78"/>
      <c r="U922" s="78"/>
      <c r="V922" s="79"/>
    </row>
    <row r="923">
      <c r="A923" s="13"/>
      <c r="B923" s="13"/>
      <c r="C923" s="70"/>
      <c r="D923" s="70"/>
      <c r="E923" s="70"/>
      <c r="F923" s="70"/>
      <c r="O923" s="94"/>
      <c r="P923" s="23"/>
      <c r="Q923" s="78"/>
      <c r="R923" s="78"/>
      <c r="S923" s="78"/>
      <c r="T923" s="78"/>
      <c r="U923" s="78"/>
      <c r="V923" s="79"/>
    </row>
    <row r="924">
      <c r="A924" s="13"/>
      <c r="B924" s="13"/>
      <c r="C924" s="70"/>
      <c r="D924" s="70"/>
      <c r="E924" s="70"/>
      <c r="F924" s="70"/>
      <c r="O924" s="94"/>
      <c r="P924" s="23"/>
      <c r="Q924" s="78"/>
      <c r="R924" s="78"/>
      <c r="S924" s="78"/>
      <c r="T924" s="78"/>
      <c r="U924" s="78"/>
      <c r="V924" s="79"/>
    </row>
    <row r="925">
      <c r="A925" s="13"/>
      <c r="B925" s="13"/>
      <c r="C925" s="70"/>
      <c r="D925" s="70"/>
      <c r="E925" s="70"/>
      <c r="F925" s="70"/>
      <c r="O925" s="94"/>
      <c r="P925" s="23"/>
      <c r="Q925" s="78"/>
      <c r="R925" s="78"/>
      <c r="S925" s="78"/>
      <c r="T925" s="78"/>
      <c r="U925" s="78"/>
      <c r="V925" s="79"/>
    </row>
    <row r="926">
      <c r="A926" s="13"/>
      <c r="B926" s="13"/>
      <c r="C926" s="70"/>
      <c r="D926" s="70"/>
      <c r="E926" s="70"/>
      <c r="F926" s="70"/>
      <c r="O926" s="94"/>
      <c r="P926" s="23"/>
      <c r="Q926" s="78"/>
      <c r="R926" s="78"/>
      <c r="S926" s="78"/>
      <c r="T926" s="78"/>
      <c r="U926" s="78"/>
      <c r="V926" s="79"/>
    </row>
    <row r="927">
      <c r="A927" s="13"/>
      <c r="B927" s="13"/>
      <c r="C927" s="70"/>
      <c r="D927" s="70"/>
      <c r="E927" s="70"/>
      <c r="F927" s="70"/>
      <c r="O927" s="94"/>
      <c r="P927" s="23"/>
      <c r="Q927" s="78"/>
      <c r="R927" s="78"/>
      <c r="S927" s="78"/>
      <c r="T927" s="78"/>
      <c r="U927" s="78"/>
      <c r="V927" s="79"/>
    </row>
    <row r="928">
      <c r="A928" s="13"/>
      <c r="B928" s="13"/>
      <c r="C928" s="70"/>
      <c r="D928" s="70"/>
      <c r="E928" s="70"/>
      <c r="F928" s="70"/>
      <c r="O928" s="94"/>
      <c r="P928" s="23"/>
      <c r="Q928" s="78"/>
      <c r="R928" s="78"/>
      <c r="S928" s="78"/>
      <c r="T928" s="78"/>
      <c r="U928" s="78"/>
      <c r="V928" s="79"/>
    </row>
    <row r="929">
      <c r="A929" s="13"/>
      <c r="B929" s="13"/>
      <c r="C929" s="70"/>
      <c r="D929" s="70"/>
      <c r="E929" s="70"/>
      <c r="F929" s="70"/>
      <c r="O929" s="94"/>
      <c r="P929" s="23"/>
      <c r="Q929" s="78"/>
      <c r="R929" s="78"/>
      <c r="S929" s="78"/>
      <c r="T929" s="78"/>
      <c r="U929" s="78"/>
      <c r="V929" s="79"/>
    </row>
    <row r="930">
      <c r="A930" s="13"/>
      <c r="B930" s="13"/>
      <c r="C930" s="70"/>
      <c r="D930" s="70"/>
      <c r="E930" s="70"/>
      <c r="F930" s="70"/>
      <c r="O930" s="94"/>
      <c r="P930" s="23"/>
      <c r="Q930" s="78"/>
      <c r="R930" s="78"/>
      <c r="S930" s="78"/>
      <c r="T930" s="78"/>
      <c r="U930" s="78"/>
      <c r="V930" s="79"/>
    </row>
    <row r="931">
      <c r="A931" s="13"/>
      <c r="B931" s="13"/>
      <c r="C931" s="70"/>
      <c r="D931" s="70"/>
      <c r="E931" s="70"/>
      <c r="F931" s="70"/>
      <c r="O931" s="94"/>
      <c r="P931" s="23"/>
      <c r="Q931" s="78"/>
      <c r="R931" s="78"/>
      <c r="S931" s="78"/>
      <c r="T931" s="78"/>
      <c r="U931" s="78"/>
      <c r="V931" s="79"/>
    </row>
    <row r="932">
      <c r="A932" s="13"/>
      <c r="B932" s="13"/>
      <c r="C932" s="70"/>
      <c r="D932" s="70"/>
      <c r="E932" s="70"/>
      <c r="F932" s="70"/>
      <c r="O932" s="94"/>
      <c r="P932" s="23"/>
      <c r="Q932" s="78"/>
      <c r="R932" s="78"/>
      <c r="S932" s="78"/>
      <c r="T932" s="78"/>
      <c r="U932" s="78"/>
      <c r="V932" s="79"/>
    </row>
    <row r="933">
      <c r="A933" s="13"/>
      <c r="B933" s="13"/>
      <c r="C933" s="70"/>
      <c r="D933" s="70"/>
      <c r="E933" s="70"/>
      <c r="F933" s="70"/>
      <c r="O933" s="94"/>
      <c r="P933" s="23"/>
      <c r="Q933" s="78"/>
      <c r="R933" s="78"/>
      <c r="S933" s="78"/>
      <c r="T933" s="78"/>
      <c r="U933" s="78"/>
      <c r="V933" s="79"/>
    </row>
    <row r="934">
      <c r="A934" s="13"/>
      <c r="B934" s="13"/>
      <c r="C934" s="70"/>
      <c r="D934" s="70"/>
      <c r="E934" s="70"/>
      <c r="F934" s="70"/>
      <c r="O934" s="94"/>
      <c r="P934" s="23"/>
      <c r="Q934" s="78"/>
      <c r="R934" s="78"/>
      <c r="S934" s="78"/>
      <c r="T934" s="78"/>
      <c r="U934" s="78"/>
      <c r="V934" s="79"/>
    </row>
    <row r="935">
      <c r="A935" s="13"/>
      <c r="B935" s="13"/>
      <c r="C935" s="70"/>
      <c r="D935" s="70"/>
      <c r="E935" s="70"/>
      <c r="F935" s="70"/>
      <c r="O935" s="94"/>
      <c r="P935" s="23"/>
      <c r="Q935" s="78"/>
      <c r="R935" s="78"/>
      <c r="S935" s="78"/>
      <c r="T935" s="78"/>
      <c r="U935" s="78"/>
      <c r="V935" s="79"/>
    </row>
    <row r="936">
      <c r="A936" s="13"/>
      <c r="B936" s="13"/>
      <c r="C936" s="70"/>
      <c r="D936" s="70"/>
      <c r="E936" s="70"/>
      <c r="F936" s="70"/>
      <c r="O936" s="94"/>
      <c r="P936" s="23"/>
      <c r="Q936" s="78"/>
      <c r="R936" s="78"/>
      <c r="S936" s="78"/>
      <c r="T936" s="78"/>
      <c r="U936" s="78"/>
      <c r="V936" s="79"/>
    </row>
    <row r="937">
      <c r="A937" s="13"/>
      <c r="B937" s="13"/>
      <c r="C937" s="70"/>
      <c r="D937" s="70"/>
      <c r="E937" s="70"/>
      <c r="F937" s="70"/>
      <c r="O937" s="94"/>
      <c r="P937" s="23"/>
      <c r="Q937" s="78"/>
      <c r="R937" s="78"/>
      <c r="S937" s="78"/>
      <c r="T937" s="78"/>
      <c r="U937" s="78"/>
      <c r="V937" s="79"/>
    </row>
    <row r="938">
      <c r="A938" s="13"/>
      <c r="B938" s="13"/>
      <c r="C938" s="70"/>
      <c r="D938" s="70"/>
      <c r="E938" s="70"/>
      <c r="F938" s="70"/>
      <c r="O938" s="94"/>
      <c r="P938" s="23"/>
      <c r="Q938" s="78"/>
      <c r="R938" s="78"/>
      <c r="S938" s="78"/>
      <c r="T938" s="78"/>
      <c r="U938" s="78"/>
      <c r="V938" s="79"/>
    </row>
    <row r="939">
      <c r="A939" s="13"/>
      <c r="B939" s="13"/>
      <c r="C939" s="70"/>
      <c r="D939" s="70"/>
      <c r="E939" s="70"/>
      <c r="F939" s="70"/>
      <c r="O939" s="94"/>
      <c r="P939" s="23"/>
      <c r="Q939" s="78"/>
      <c r="R939" s="78"/>
      <c r="S939" s="78"/>
      <c r="T939" s="78"/>
      <c r="U939" s="78"/>
      <c r="V939" s="79"/>
    </row>
    <row r="940">
      <c r="A940" s="13"/>
      <c r="B940" s="13"/>
      <c r="C940" s="70"/>
      <c r="D940" s="70"/>
      <c r="E940" s="70"/>
      <c r="F940" s="70"/>
      <c r="O940" s="94"/>
      <c r="P940" s="23"/>
      <c r="Q940" s="78"/>
      <c r="R940" s="78"/>
      <c r="S940" s="78"/>
      <c r="T940" s="78"/>
      <c r="U940" s="78"/>
      <c r="V940" s="79"/>
    </row>
    <row r="941">
      <c r="A941" s="13"/>
      <c r="B941" s="13"/>
      <c r="C941" s="70"/>
      <c r="D941" s="70"/>
      <c r="E941" s="70"/>
      <c r="F941" s="70"/>
      <c r="O941" s="94"/>
      <c r="P941" s="23"/>
      <c r="Q941" s="78"/>
      <c r="R941" s="78"/>
      <c r="S941" s="78"/>
      <c r="T941" s="78"/>
      <c r="U941" s="78"/>
      <c r="V941" s="79"/>
    </row>
    <row r="942">
      <c r="A942" s="13"/>
      <c r="B942" s="13"/>
      <c r="C942" s="70"/>
      <c r="D942" s="70"/>
      <c r="E942" s="70"/>
      <c r="F942" s="70"/>
      <c r="O942" s="94"/>
      <c r="P942" s="23"/>
      <c r="Q942" s="78"/>
      <c r="R942" s="78"/>
      <c r="S942" s="78"/>
      <c r="T942" s="78"/>
      <c r="U942" s="78"/>
      <c r="V942" s="79"/>
    </row>
    <row r="943">
      <c r="A943" s="13"/>
      <c r="B943" s="13"/>
      <c r="C943" s="70"/>
      <c r="D943" s="70"/>
      <c r="E943" s="70"/>
      <c r="F943" s="70"/>
      <c r="O943" s="94"/>
      <c r="P943" s="23"/>
      <c r="Q943" s="78"/>
      <c r="R943" s="78"/>
      <c r="S943" s="78"/>
      <c r="T943" s="78"/>
      <c r="U943" s="78"/>
      <c r="V943" s="79"/>
    </row>
    <row r="944">
      <c r="A944" s="13"/>
      <c r="B944" s="13"/>
      <c r="C944" s="70"/>
      <c r="D944" s="70"/>
      <c r="E944" s="70"/>
      <c r="F944" s="70"/>
      <c r="O944" s="94"/>
      <c r="P944" s="23"/>
      <c r="Q944" s="78"/>
      <c r="R944" s="78"/>
      <c r="S944" s="78"/>
      <c r="T944" s="78"/>
      <c r="U944" s="78"/>
      <c r="V944" s="79"/>
    </row>
    <row r="945">
      <c r="A945" s="13"/>
      <c r="B945" s="13"/>
      <c r="C945" s="70"/>
      <c r="D945" s="70"/>
      <c r="E945" s="70"/>
      <c r="F945" s="70"/>
      <c r="O945" s="94"/>
      <c r="P945" s="23"/>
      <c r="Q945" s="78"/>
      <c r="R945" s="78"/>
      <c r="S945" s="78"/>
      <c r="T945" s="78"/>
      <c r="U945" s="78"/>
      <c r="V945" s="79"/>
    </row>
    <row r="946">
      <c r="A946" s="13"/>
      <c r="B946" s="13"/>
      <c r="C946" s="70"/>
      <c r="D946" s="70"/>
      <c r="E946" s="70"/>
      <c r="F946" s="70"/>
      <c r="O946" s="94"/>
      <c r="P946" s="23"/>
      <c r="Q946" s="78"/>
      <c r="R946" s="78"/>
      <c r="S946" s="78"/>
      <c r="T946" s="78"/>
      <c r="U946" s="78"/>
      <c r="V946" s="79"/>
    </row>
    <row r="947">
      <c r="A947" s="13"/>
      <c r="B947" s="13"/>
      <c r="C947" s="70"/>
      <c r="D947" s="70"/>
      <c r="E947" s="70"/>
      <c r="F947" s="70"/>
      <c r="O947" s="94"/>
      <c r="P947" s="23"/>
      <c r="Q947" s="78"/>
      <c r="R947" s="78"/>
      <c r="S947" s="78"/>
      <c r="T947" s="78"/>
      <c r="U947" s="78"/>
      <c r="V947" s="79"/>
    </row>
    <row r="948">
      <c r="A948" s="13"/>
      <c r="B948" s="13"/>
      <c r="C948" s="70"/>
      <c r="D948" s="70"/>
      <c r="E948" s="70"/>
      <c r="F948" s="70"/>
      <c r="O948" s="94"/>
      <c r="P948" s="23"/>
      <c r="Q948" s="78"/>
      <c r="R948" s="78"/>
      <c r="S948" s="78"/>
      <c r="T948" s="78"/>
      <c r="U948" s="78"/>
      <c r="V948" s="79"/>
    </row>
    <row r="949">
      <c r="A949" s="13"/>
      <c r="B949" s="13"/>
      <c r="C949" s="70"/>
      <c r="D949" s="70"/>
      <c r="E949" s="70"/>
      <c r="F949" s="70"/>
      <c r="O949" s="94"/>
      <c r="P949" s="23"/>
      <c r="Q949" s="78"/>
      <c r="R949" s="78"/>
      <c r="S949" s="78"/>
      <c r="T949" s="78"/>
      <c r="U949" s="78"/>
      <c r="V949" s="79"/>
    </row>
    <row r="950">
      <c r="A950" s="13"/>
      <c r="B950" s="13"/>
      <c r="C950" s="70"/>
      <c r="D950" s="70"/>
      <c r="E950" s="70"/>
      <c r="F950" s="70"/>
      <c r="O950" s="94"/>
      <c r="P950" s="23"/>
      <c r="Q950" s="78"/>
      <c r="R950" s="78"/>
      <c r="S950" s="78"/>
      <c r="T950" s="78"/>
      <c r="U950" s="78"/>
      <c r="V950" s="79"/>
    </row>
    <row r="951">
      <c r="A951" s="13"/>
      <c r="B951" s="13"/>
      <c r="C951" s="70"/>
      <c r="D951" s="70"/>
      <c r="E951" s="70"/>
      <c r="F951" s="70"/>
      <c r="O951" s="94"/>
      <c r="P951" s="23"/>
      <c r="Q951" s="78"/>
      <c r="R951" s="78"/>
      <c r="S951" s="78"/>
      <c r="T951" s="78"/>
      <c r="U951" s="78"/>
      <c r="V951" s="79"/>
    </row>
    <row r="952">
      <c r="A952" s="13"/>
      <c r="B952" s="13"/>
      <c r="C952" s="70"/>
      <c r="D952" s="70"/>
      <c r="E952" s="70"/>
      <c r="F952" s="70"/>
      <c r="O952" s="94"/>
      <c r="P952" s="23"/>
      <c r="Q952" s="78"/>
      <c r="R952" s="78"/>
      <c r="S952" s="78"/>
      <c r="T952" s="78"/>
      <c r="U952" s="78"/>
      <c r="V952" s="79"/>
    </row>
    <row r="953">
      <c r="A953" s="13"/>
      <c r="B953" s="13"/>
      <c r="C953" s="70"/>
      <c r="D953" s="70"/>
      <c r="E953" s="70"/>
      <c r="F953" s="70"/>
      <c r="O953" s="94"/>
      <c r="P953" s="23"/>
      <c r="Q953" s="78"/>
      <c r="R953" s="78"/>
      <c r="S953" s="78"/>
      <c r="T953" s="78"/>
      <c r="U953" s="78"/>
      <c r="V953" s="79"/>
    </row>
    <row r="954">
      <c r="A954" s="13"/>
      <c r="B954" s="13"/>
      <c r="C954" s="70"/>
      <c r="D954" s="70"/>
      <c r="E954" s="70"/>
      <c r="F954" s="70"/>
      <c r="O954" s="94"/>
      <c r="P954" s="23"/>
      <c r="Q954" s="78"/>
      <c r="R954" s="78"/>
      <c r="S954" s="78"/>
      <c r="T954" s="78"/>
      <c r="U954" s="78"/>
      <c r="V954" s="79"/>
    </row>
    <row r="955">
      <c r="A955" s="13"/>
      <c r="B955" s="13"/>
      <c r="C955" s="70"/>
      <c r="D955" s="70"/>
      <c r="E955" s="70"/>
      <c r="F955" s="70"/>
      <c r="O955" s="94"/>
      <c r="P955" s="23"/>
      <c r="Q955" s="78"/>
      <c r="R955" s="78"/>
      <c r="S955" s="78"/>
      <c r="T955" s="78"/>
      <c r="U955" s="78"/>
      <c r="V955" s="79"/>
    </row>
    <row r="956">
      <c r="A956" s="13"/>
      <c r="B956" s="13"/>
      <c r="C956" s="70"/>
      <c r="D956" s="70"/>
      <c r="E956" s="70"/>
      <c r="F956" s="70"/>
      <c r="O956" s="94"/>
      <c r="P956" s="23"/>
      <c r="Q956" s="78"/>
      <c r="R956" s="78"/>
      <c r="S956" s="78"/>
      <c r="T956" s="78"/>
      <c r="U956" s="78"/>
      <c r="V956" s="79"/>
    </row>
    <row r="957">
      <c r="A957" s="13"/>
      <c r="B957" s="13"/>
      <c r="C957" s="70"/>
      <c r="D957" s="70"/>
      <c r="E957" s="70"/>
      <c r="F957" s="70"/>
      <c r="O957" s="94"/>
      <c r="P957" s="23"/>
      <c r="Q957" s="78"/>
      <c r="R957" s="78"/>
      <c r="S957" s="78"/>
      <c r="T957" s="78"/>
      <c r="U957" s="78"/>
      <c r="V957" s="79"/>
    </row>
    <row r="958">
      <c r="A958" s="13"/>
      <c r="B958" s="13"/>
      <c r="C958" s="70"/>
      <c r="D958" s="70"/>
      <c r="E958" s="70"/>
      <c r="F958" s="70"/>
      <c r="O958" s="94"/>
      <c r="P958" s="23"/>
      <c r="Q958" s="78"/>
      <c r="R958" s="78"/>
      <c r="S958" s="78"/>
      <c r="T958" s="78"/>
      <c r="U958" s="78"/>
      <c r="V958" s="79"/>
    </row>
    <row r="959">
      <c r="A959" s="13"/>
      <c r="B959" s="13"/>
      <c r="C959" s="70"/>
      <c r="D959" s="70"/>
      <c r="E959" s="70"/>
      <c r="F959" s="70"/>
      <c r="O959" s="94"/>
      <c r="P959" s="23"/>
      <c r="Q959" s="78"/>
      <c r="R959" s="78"/>
      <c r="S959" s="78"/>
      <c r="T959" s="78"/>
      <c r="U959" s="78"/>
      <c r="V959" s="79"/>
    </row>
    <row r="960">
      <c r="A960" s="13"/>
      <c r="B960" s="13"/>
      <c r="C960" s="70"/>
      <c r="D960" s="70"/>
      <c r="E960" s="70"/>
      <c r="F960" s="70"/>
      <c r="O960" s="94"/>
      <c r="P960" s="23"/>
      <c r="Q960" s="78"/>
      <c r="R960" s="78"/>
      <c r="S960" s="78"/>
      <c r="T960" s="78"/>
      <c r="U960" s="78"/>
      <c r="V960" s="79"/>
    </row>
    <row r="961">
      <c r="A961" s="13"/>
      <c r="B961" s="13"/>
      <c r="C961" s="70"/>
      <c r="D961" s="70"/>
      <c r="E961" s="70"/>
      <c r="F961" s="70"/>
      <c r="O961" s="94"/>
      <c r="P961" s="23"/>
      <c r="Q961" s="78"/>
      <c r="R961" s="78"/>
      <c r="S961" s="78"/>
      <c r="T961" s="78"/>
      <c r="U961" s="78"/>
      <c r="V961" s="79"/>
    </row>
    <row r="962">
      <c r="A962" s="13"/>
      <c r="B962" s="13"/>
      <c r="C962" s="70"/>
      <c r="D962" s="70"/>
      <c r="E962" s="70"/>
      <c r="F962" s="70"/>
      <c r="O962" s="94"/>
      <c r="P962" s="23"/>
      <c r="Q962" s="78"/>
      <c r="R962" s="78"/>
      <c r="S962" s="78"/>
      <c r="T962" s="78"/>
      <c r="U962" s="78"/>
      <c r="V962" s="79"/>
    </row>
    <row r="963">
      <c r="A963" s="13"/>
      <c r="B963" s="13"/>
      <c r="C963" s="70"/>
      <c r="D963" s="70"/>
      <c r="E963" s="70"/>
      <c r="F963" s="70"/>
      <c r="O963" s="94"/>
      <c r="P963" s="23"/>
      <c r="Q963" s="78"/>
      <c r="R963" s="78"/>
      <c r="S963" s="78"/>
      <c r="T963" s="78"/>
      <c r="U963" s="78"/>
      <c r="V963" s="79"/>
    </row>
    <row r="964">
      <c r="A964" s="13"/>
      <c r="B964" s="13"/>
      <c r="C964" s="70"/>
      <c r="D964" s="70"/>
      <c r="E964" s="70"/>
      <c r="F964" s="70"/>
      <c r="O964" s="94"/>
      <c r="P964" s="23"/>
      <c r="Q964" s="78"/>
      <c r="R964" s="78"/>
      <c r="S964" s="78"/>
      <c r="T964" s="78"/>
      <c r="U964" s="78"/>
      <c r="V964" s="79"/>
    </row>
    <row r="965">
      <c r="A965" s="13"/>
      <c r="B965" s="13"/>
      <c r="C965" s="70"/>
      <c r="D965" s="70"/>
      <c r="E965" s="70"/>
      <c r="F965" s="70"/>
      <c r="O965" s="94"/>
      <c r="P965" s="23"/>
      <c r="Q965" s="78"/>
      <c r="R965" s="78"/>
      <c r="S965" s="78"/>
      <c r="T965" s="78"/>
      <c r="U965" s="78"/>
      <c r="V965" s="79"/>
    </row>
    <row r="966">
      <c r="A966" s="13"/>
      <c r="B966" s="13"/>
      <c r="C966" s="70"/>
      <c r="D966" s="70"/>
      <c r="E966" s="70"/>
      <c r="F966" s="70"/>
      <c r="O966" s="94"/>
      <c r="P966" s="23"/>
      <c r="Q966" s="78"/>
      <c r="R966" s="78"/>
      <c r="S966" s="78"/>
      <c r="T966" s="78"/>
      <c r="U966" s="78"/>
      <c r="V966" s="79"/>
    </row>
    <row r="967">
      <c r="A967" s="13"/>
      <c r="B967" s="13"/>
      <c r="C967" s="70"/>
      <c r="D967" s="70"/>
      <c r="E967" s="70"/>
      <c r="F967" s="70"/>
      <c r="O967" s="94"/>
      <c r="P967" s="23"/>
      <c r="Q967" s="78"/>
      <c r="R967" s="78"/>
      <c r="S967" s="78"/>
      <c r="T967" s="78"/>
      <c r="U967" s="78"/>
      <c r="V967" s="79"/>
    </row>
    <row r="968">
      <c r="A968" s="13"/>
      <c r="B968" s="13"/>
      <c r="C968" s="70"/>
      <c r="D968" s="70"/>
      <c r="E968" s="70"/>
      <c r="F968" s="70"/>
      <c r="O968" s="94"/>
      <c r="P968" s="23"/>
      <c r="Q968" s="78"/>
      <c r="R968" s="78"/>
      <c r="S968" s="78"/>
      <c r="T968" s="78"/>
      <c r="U968" s="78"/>
      <c r="V968" s="79"/>
    </row>
    <row r="969">
      <c r="A969" s="13"/>
      <c r="B969" s="13"/>
      <c r="C969" s="70"/>
      <c r="D969" s="70"/>
      <c r="E969" s="70"/>
      <c r="F969" s="70"/>
      <c r="O969" s="94"/>
      <c r="P969" s="23"/>
      <c r="Q969" s="78"/>
      <c r="R969" s="78"/>
      <c r="S969" s="78"/>
      <c r="T969" s="78"/>
      <c r="U969" s="78"/>
      <c r="V969" s="79"/>
    </row>
    <row r="970">
      <c r="A970" s="13"/>
      <c r="B970" s="13"/>
      <c r="C970" s="70"/>
      <c r="D970" s="70"/>
      <c r="E970" s="70"/>
      <c r="F970" s="70"/>
      <c r="O970" s="94"/>
      <c r="P970" s="23"/>
      <c r="Q970" s="78"/>
      <c r="R970" s="78"/>
      <c r="S970" s="78"/>
      <c r="T970" s="78"/>
      <c r="U970" s="78"/>
      <c r="V970" s="79"/>
    </row>
    <row r="971">
      <c r="A971" s="13"/>
      <c r="B971" s="13"/>
      <c r="C971" s="70"/>
      <c r="D971" s="70"/>
      <c r="E971" s="70"/>
      <c r="F971" s="70"/>
      <c r="O971" s="94"/>
      <c r="P971" s="23"/>
      <c r="Q971" s="78"/>
      <c r="R971" s="78"/>
      <c r="S971" s="78"/>
      <c r="T971" s="78"/>
      <c r="U971" s="78"/>
      <c r="V971" s="79"/>
    </row>
    <row r="972">
      <c r="A972" s="13"/>
      <c r="B972" s="13"/>
      <c r="C972" s="70"/>
      <c r="D972" s="70"/>
      <c r="E972" s="70"/>
      <c r="F972" s="70"/>
      <c r="O972" s="94"/>
      <c r="P972" s="23"/>
      <c r="Q972" s="78"/>
      <c r="R972" s="78"/>
      <c r="S972" s="78"/>
      <c r="T972" s="78"/>
      <c r="U972" s="78"/>
      <c r="V972" s="79"/>
    </row>
    <row r="973">
      <c r="A973" s="13"/>
      <c r="B973" s="13"/>
      <c r="C973" s="70"/>
      <c r="D973" s="70"/>
      <c r="E973" s="70"/>
      <c r="F973" s="70"/>
      <c r="O973" s="94"/>
      <c r="P973" s="23"/>
      <c r="Q973" s="78"/>
      <c r="R973" s="78"/>
      <c r="S973" s="78"/>
      <c r="T973" s="78"/>
      <c r="U973" s="78"/>
      <c r="V973" s="79"/>
    </row>
    <row r="974">
      <c r="A974" s="13"/>
      <c r="B974" s="13"/>
      <c r="C974" s="70"/>
      <c r="D974" s="70"/>
      <c r="E974" s="70"/>
      <c r="F974" s="70"/>
      <c r="O974" s="94"/>
      <c r="P974" s="23"/>
      <c r="Q974" s="78"/>
      <c r="R974" s="78"/>
      <c r="S974" s="78"/>
      <c r="T974" s="78"/>
      <c r="U974" s="78"/>
      <c r="V974" s="79"/>
    </row>
    <row r="975">
      <c r="A975" s="13"/>
      <c r="B975" s="13"/>
      <c r="C975" s="70"/>
      <c r="D975" s="70"/>
      <c r="E975" s="70"/>
      <c r="F975" s="70"/>
      <c r="O975" s="94"/>
      <c r="P975" s="23"/>
      <c r="Q975" s="78"/>
      <c r="R975" s="78"/>
      <c r="S975" s="78"/>
      <c r="T975" s="78"/>
      <c r="U975" s="78"/>
      <c r="V975" s="79"/>
    </row>
    <row r="976">
      <c r="A976" s="13"/>
      <c r="B976" s="13"/>
      <c r="C976" s="70"/>
      <c r="D976" s="70"/>
      <c r="E976" s="70"/>
      <c r="F976" s="70"/>
      <c r="O976" s="94"/>
      <c r="P976" s="23"/>
      <c r="Q976" s="78"/>
      <c r="R976" s="78"/>
      <c r="S976" s="78"/>
      <c r="T976" s="78"/>
      <c r="U976" s="78"/>
      <c r="V976" s="79"/>
    </row>
    <row r="977">
      <c r="A977" s="13"/>
      <c r="B977" s="13"/>
      <c r="C977" s="70"/>
      <c r="D977" s="70"/>
      <c r="E977" s="70"/>
      <c r="F977" s="70"/>
      <c r="O977" s="94"/>
      <c r="P977" s="23"/>
      <c r="Q977" s="78"/>
      <c r="R977" s="78"/>
      <c r="S977" s="78"/>
      <c r="T977" s="78"/>
      <c r="U977" s="78"/>
      <c r="V977" s="79"/>
    </row>
    <row r="978">
      <c r="A978" s="13"/>
      <c r="B978" s="13"/>
      <c r="C978" s="70"/>
      <c r="D978" s="70"/>
      <c r="E978" s="70"/>
      <c r="F978" s="70"/>
      <c r="O978" s="94"/>
      <c r="P978" s="23"/>
      <c r="Q978" s="78"/>
      <c r="R978" s="78"/>
      <c r="S978" s="78"/>
      <c r="T978" s="78"/>
      <c r="U978" s="78"/>
      <c r="V978" s="79"/>
    </row>
    <row r="979">
      <c r="A979" s="13"/>
      <c r="B979" s="13"/>
      <c r="C979" s="70"/>
      <c r="D979" s="70"/>
      <c r="E979" s="70"/>
      <c r="F979" s="70"/>
      <c r="O979" s="94"/>
      <c r="P979" s="23"/>
      <c r="Q979" s="78"/>
      <c r="R979" s="78"/>
      <c r="S979" s="78"/>
      <c r="T979" s="78"/>
      <c r="U979" s="78"/>
      <c r="V979" s="79"/>
    </row>
    <row r="980">
      <c r="A980" s="13"/>
      <c r="B980" s="13"/>
      <c r="C980" s="70"/>
      <c r="D980" s="70"/>
      <c r="E980" s="70"/>
      <c r="F980" s="70"/>
      <c r="O980" s="94"/>
      <c r="P980" s="23"/>
      <c r="Q980" s="78"/>
      <c r="R980" s="78"/>
      <c r="S980" s="78"/>
      <c r="T980" s="78"/>
      <c r="U980" s="78"/>
      <c r="V980" s="79"/>
    </row>
    <row r="981">
      <c r="A981" s="13"/>
      <c r="B981" s="13"/>
      <c r="C981" s="70"/>
      <c r="D981" s="70"/>
      <c r="E981" s="70"/>
      <c r="F981" s="70"/>
      <c r="O981" s="94"/>
      <c r="P981" s="23"/>
      <c r="Q981" s="78"/>
      <c r="R981" s="78"/>
      <c r="S981" s="78"/>
      <c r="T981" s="78"/>
      <c r="U981" s="78"/>
      <c r="V981" s="79"/>
    </row>
    <row r="982">
      <c r="A982" s="13"/>
      <c r="B982" s="13"/>
      <c r="C982" s="70"/>
      <c r="D982" s="70"/>
      <c r="E982" s="70"/>
      <c r="F982" s="70"/>
      <c r="O982" s="94"/>
      <c r="P982" s="23"/>
      <c r="Q982" s="78"/>
      <c r="R982" s="78"/>
      <c r="S982" s="78"/>
      <c r="T982" s="78"/>
      <c r="U982" s="78"/>
      <c r="V982" s="79"/>
    </row>
    <row r="983">
      <c r="A983" s="13"/>
      <c r="B983" s="13"/>
      <c r="C983" s="70"/>
      <c r="D983" s="70"/>
      <c r="E983" s="70"/>
      <c r="F983" s="70"/>
      <c r="O983" s="94"/>
      <c r="P983" s="23"/>
      <c r="Q983" s="78"/>
      <c r="R983" s="78"/>
      <c r="S983" s="78"/>
      <c r="T983" s="78"/>
      <c r="U983" s="78"/>
      <c r="V983" s="79"/>
    </row>
    <row r="984">
      <c r="A984" s="13"/>
      <c r="B984" s="13"/>
      <c r="C984" s="70"/>
      <c r="D984" s="70"/>
      <c r="E984" s="70"/>
      <c r="F984" s="70"/>
      <c r="O984" s="94"/>
      <c r="P984" s="23"/>
      <c r="Q984" s="78"/>
      <c r="R984" s="78"/>
      <c r="S984" s="78"/>
      <c r="T984" s="78"/>
      <c r="U984" s="78"/>
      <c r="V984" s="79"/>
    </row>
    <row r="985">
      <c r="A985" s="13"/>
      <c r="B985" s="13"/>
      <c r="C985" s="70"/>
      <c r="D985" s="70"/>
      <c r="E985" s="70"/>
      <c r="F985" s="70"/>
      <c r="O985" s="94"/>
      <c r="P985" s="23"/>
      <c r="Q985" s="78"/>
      <c r="R985" s="78"/>
      <c r="S985" s="78"/>
      <c r="T985" s="78"/>
      <c r="U985" s="78"/>
      <c r="V985" s="79"/>
    </row>
    <row r="986">
      <c r="A986" s="13"/>
      <c r="B986" s="13"/>
      <c r="C986" s="70"/>
      <c r="D986" s="70"/>
      <c r="E986" s="70"/>
      <c r="F986" s="70"/>
      <c r="O986" s="94"/>
      <c r="P986" s="23"/>
      <c r="Q986" s="78"/>
      <c r="R986" s="78"/>
      <c r="S986" s="78"/>
      <c r="T986" s="78"/>
      <c r="U986" s="78"/>
      <c r="V986" s="79"/>
    </row>
    <row r="987">
      <c r="A987" s="13"/>
      <c r="B987" s="13"/>
      <c r="C987" s="70"/>
      <c r="D987" s="70"/>
      <c r="E987" s="70"/>
      <c r="F987" s="70"/>
      <c r="O987" s="94"/>
      <c r="P987" s="23"/>
      <c r="Q987" s="78"/>
      <c r="R987" s="78"/>
      <c r="S987" s="78"/>
      <c r="T987" s="78"/>
      <c r="U987" s="78"/>
      <c r="V987" s="79"/>
    </row>
    <row r="988">
      <c r="A988" s="13"/>
      <c r="B988" s="13"/>
      <c r="C988" s="70"/>
      <c r="D988" s="70"/>
      <c r="E988" s="70"/>
      <c r="F988" s="70"/>
      <c r="O988" s="94"/>
      <c r="P988" s="23"/>
      <c r="Q988" s="78"/>
      <c r="R988" s="78"/>
      <c r="S988" s="78"/>
      <c r="T988" s="78"/>
      <c r="U988" s="78"/>
      <c r="V988" s="79"/>
    </row>
    <row r="989">
      <c r="A989" s="13"/>
      <c r="B989" s="13"/>
      <c r="C989" s="70"/>
      <c r="D989" s="70"/>
      <c r="E989" s="70"/>
      <c r="F989" s="70"/>
      <c r="O989" s="94"/>
      <c r="P989" s="23"/>
      <c r="Q989" s="78"/>
      <c r="R989" s="78"/>
      <c r="S989" s="78"/>
      <c r="T989" s="78"/>
      <c r="U989" s="78"/>
      <c r="V989" s="79"/>
    </row>
  </sheetData>
  <conditionalFormatting sqref="I1:I989">
    <cfRule type="cellIs" dxfId="0" priority="1" operator="lessThan">
      <formula>3</formula>
    </cfRule>
  </conditionalFormatting>
  <conditionalFormatting sqref="I1:I989">
    <cfRule type="cellIs" dxfId="1" priority="2" operator="lessThan">
      <formula>7</formula>
    </cfRule>
  </conditionalFormatting>
  <dataValidations>
    <dataValidation type="list" allowBlank="1" showErrorMessage="1" sqref="C2:F5 C6:C17 E6:F17 C18:F18 C19:C26 E19:F26 C27:F27 C28:C46 E28:F46 C47:F48 C49:C52 E49:F52 C53:F53 C54:C57 E54:F57 C58:F58 C59:C61 E59:F61 C62:F62 C63:C65 E63:F65 C66:F66 C67 E67:F67 C68:F68 C69:C71 E69:F71 C72:F72 C73 E73:F73 C74:F74 C75:C81 E75:F81 C82:F82 C83 E83:F83 C84:F84 C85 E85:F85 C86:F86 C87:C88 E87:F88 C89:F89 C90:C93 E90:F93 C94:F96 C97 E97:F97 C98:F101 C102:C103 E102:F103 C104:F106 C107 E107:F107 C108:F111 C112 E112:F112 C113:F113 C114:C118 E114:F118 C119:F120 C121:C122 E121:F122 C123:F124 C125 E125:F125 C126:F126 C127:C129 E127:F129 C130:F130 C131 E131:F131 C132:F134 C135:C136 E135:F136 C137:F139 C140 E140:F140 C141:F141 C142:C143 E142:F143 C144:F144 C145 E145:F145 C146:F146 C147:C151 E147:F151 C152:F153 C154:C156 E154:F156 C157:F157 C158 E158:F158 C159:F159 C160 E160:F160 C161:F162 C163:C167 E163:F167 C168:F168 C169 E169:F169 C170:F171 C172:C173 E172:F173 C174:F174 C175 E175:F175 C176:F177 C178 E178:F178 C179:F182 C183:C186 E183:F186 C187:F188 C189:C192 E189:F192 C193:F193 C194 E194:F194 C195:F196 C197 E197:F197 C198:F200 C201 E201:F201 C202:F202 C203 E203:F203 C204:F205 C206 E206:F206 C207:F207 C208:C210 E208:F210 C211:F211 C212:C231 E212:F231 C232:F232 C233:C234 E233:F234 C235:F235 C236 E236:F236 C237:F237 C238:C240 E238:F240 C241:F241 C242 E242:F242 C243:F989">
      <formula1>"IMAJU LOGO,IMAJU LOGO I WIDGET,IMAJU WIDGET,NEMAJU NIŠTA,TRUSTED SHOP LOGO,SAFE SHOP AKTIVAN"</formula1>
    </dataValidation>
    <dataValidation type="list" allowBlank="1" showErrorMessage="1" sqref="H2:H263">
      <formula1>"Limited,Punopravni,Premium"</formula1>
    </dataValidation>
    <dataValidation type="list" allowBlank="1" showErrorMessage="1" sqref="D6:D17 D19:D26 D28:D46 D49:D52 D54:D57 D59:D61 D63:D65 D67 D69:D71 D73 D75:D81 D83 D85 D87:D88 D90:D93 D97 D102:D103 D107 D112 D114:D118 D121:D122 D125 D127:D129 D131 D135:D136 D140 D142:D143 D145 D147:D151 D154:D156 D158 D160 D163:D167 D169 D172:D173 D175 D178 D183:D186 D189:D192 D194 D197 D201 D203 D206 D208:D210 D212:D231 D233:D234 D236 D238:D240 D242">
      <formula1>"Da,Ne"</formula1>
    </dataValidation>
  </dataValidations>
  <hyperlinks>
    <hyperlink r:id="rId1" ref="G2"/>
    <hyperlink r:id="rId2" ref="G3"/>
    <hyperlink r:id="rId3" ref="G4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0"/>
    <hyperlink r:id="rId58" ref="G61"/>
    <hyperlink r:id="rId59" ref="G62"/>
    <hyperlink r:id="rId60" ref="G63"/>
    <hyperlink r:id="rId61" ref="G64"/>
    <hyperlink r:id="rId62" ref="G65"/>
    <hyperlink r:id="rId63" ref="G66"/>
    <hyperlink r:id="rId64" ref="G67"/>
    <hyperlink r:id="rId65" ref="G68"/>
    <hyperlink r:id="rId66" ref="G69"/>
    <hyperlink r:id="rId67" ref="G70"/>
    <hyperlink r:id="rId68" ref="B71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3"/>
    <hyperlink r:id="rId81" ref="G84"/>
    <hyperlink r:id="rId82" ref="G85"/>
    <hyperlink r:id="rId83" ref="G86"/>
    <hyperlink r:id="rId84" ref="G87"/>
    <hyperlink r:id="rId85" ref="G88"/>
    <hyperlink r:id="rId86" ref="G94"/>
    <hyperlink r:id="rId87" ref="G100"/>
    <hyperlink r:id="rId88" ref="G101"/>
    <hyperlink r:id="rId89" ref="G107"/>
    <hyperlink r:id="rId90" ref="G108"/>
    <hyperlink r:id="rId91" ref="G114"/>
    <hyperlink r:id="rId92" ref="G117"/>
    <hyperlink r:id="rId93" ref="G124"/>
    <hyperlink r:id="rId94" ref="G138"/>
    <hyperlink r:id="rId95" ref="M142"/>
    <hyperlink r:id="rId96" ref="G145"/>
    <hyperlink r:id="rId97" ref="M145"/>
    <hyperlink r:id="rId98" ref="G146"/>
    <hyperlink r:id="rId99" ref="G148"/>
    <hyperlink r:id="rId100" ref="G165"/>
    <hyperlink r:id="rId101" ref="G168"/>
    <hyperlink r:id="rId102" ref="G169"/>
    <hyperlink r:id="rId103" ref="G172"/>
    <hyperlink r:id="rId104" ref="G182"/>
    <hyperlink r:id="rId105" ref="M189"/>
    <hyperlink r:id="rId106" ref="G190"/>
    <hyperlink r:id="rId107" ref="G201"/>
    <hyperlink r:id="rId108" ref="G212"/>
    <hyperlink r:id="rId109" ref="G219"/>
    <hyperlink r:id="rId110" ref="G233"/>
    <hyperlink r:id="rId111" ref="G237"/>
    <hyperlink r:id="rId112" ref="G240"/>
    <hyperlink r:id="rId113" ref="G241"/>
    <hyperlink r:id="rId114" ref="G243"/>
  </hyperlinks>
  <drawing r:id="rId115"/>
</worksheet>
</file>